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0" windowWidth="14810" windowHeight="8010"/>
  </bookViews>
  <sheets>
    <sheet name="Data" sheetId="1" r:id="rId1"/>
    <sheet name="Staff Overview" sheetId="2" r:id="rId2"/>
    <sheet name="Detailed Staff" sheetId="3" r:id="rId3"/>
    <sheet name="Cover" sheetId="4" r:id="rId4"/>
  </sheets>
  <functionGroups builtInGroupCount="17"/>
  <calcPr calcId="144525"/>
</workbook>
</file>

<file path=xl/calcChain.xml><?xml version="1.0" encoding="utf-8"?>
<calcChain xmlns="http://schemas.openxmlformats.org/spreadsheetml/2006/main">
  <c r="AA7" i="2" l="1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6" i="2"/>
  <c r="AI7" i="1" l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E3" i="3"/>
  <c r="F3" i="3" s="1"/>
  <c r="G3" i="3" s="1"/>
  <c r="H3" i="3" s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F212" i="1" l="1"/>
  <c r="G212" i="1" s="1"/>
  <c r="H212" i="1" s="1"/>
  <c r="I212" i="1" s="1"/>
  <c r="J212" i="1" s="1"/>
  <c r="K212" i="1" s="1"/>
  <c r="L212" i="1" s="1"/>
  <c r="M212" i="1" s="1"/>
  <c r="N212" i="1" s="1"/>
  <c r="O212" i="1" s="1"/>
  <c r="P212" i="1" s="1"/>
  <c r="Q212" i="1" s="1"/>
  <c r="R212" i="1" s="1"/>
  <c r="S212" i="1" s="1"/>
  <c r="T212" i="1" s="1"/>
  <c r="U212" i="1" s="1"/>
  <c r="V212" i="1" s="1"/>
  <c r="W212" i="1" s="1"/>
  <c r="X212" i="1" s="1"/>
  <c r="Y212" i="1" s="1"/>
  <c r="Z212" i="1" s="1"/>
  <c r="P8" i="1" l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V40" i="1" l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EE157" i="1"/>
  <c r="EF157" i="1" s="1"/>
  <c r="EG157" i="1" s="1"/>
  <c r="EH157" i="1" s="1"/>
  <c r="EI157" i="1" s="1"/>
  <c r="EJ157" i="1" s="1"/>
  <c r="EK157" i="1" s="1"/>
  <c r="EL157" i="1" s="1"/>
  <c r="EM157" i="1" s="1"/>
  <c r="EN157" i="1" s="1"/>
  <c r="EO157" i="1" s="1"/>
  <c r="EP157" i="1" s="1"/>
  <c r="EQ157" i="1" s="1"/>
  <c r="ER157" i="1" s="1"/>
  <c r="ES157" i="1" s="1"/>
  <c r="ET157" i="1" s="1"/>
  <c r="EU157" i="1" s="1"/>
  <c r="EV157" i="1" s="1"/>
  <c r="EW157" i="1" s="1"/>
  <c r="EX157" i="1" s="1"/>
  <c r="EY157" i="1" s="1"/>
  <c r="EZ157" i="1" s="1"/>
  <c r="FA157" i="1" s="1"/>
  <c r="FB157" i="1" s="1"/>
  <c r="FC157" i="1" s="1"/>
  <c r="CY157" i="1"/>
  <c r="CZ157" i="1" s="1"/>
  <c r="DA157" i="1" s="1"/>
  <c r="DB157" i="1" s="1"/>
  <c r="DC157" i="1" s="1"/>
  <c r="DD157" i="1" s="1"/>
  <c r="DE157" i="1" s="1"/>
  <c r="DF157" i="1" s="1"/>
  <c r="DG157" i="1" s="1"/>
  <c r="DH157" i="1" s="1"/>
  <c r="DI157" i="1" s="1"/>
  <c r="DJ157" i="1" s="1"/>
  <c r="DK157" i="1" s="1"/>
  <c r="DL157" i="1" s="1"/>
  <c r="DM157" i="1" s="1"/>
  <c r="DN157" i="1" s="1"/>
  <c r="DO157" i="1" s="1"/>
  <c r="DP157" i="1" s="1"/>
  <c r="DQ157" i="1" s="1"/>
  <c r="DR157" i="1" s="1"/>
  <c r="DS157" i="1" s="1"/>
  <c r="DT157" i="1" s="1"/>
  <c r="DU157" i="1" s="1"/>
  <c r="DV157" i="1" s="1"/>
  <c r="DW157" i="1" s="1"/>
  <c r="BS157" i="1"/>
  <c r="BT157" i="1" s="1"/>
  <c r="BU157" i="1" s="1"/>
  <c r="BV157" i="1" s="1"/>
  <c r="BW157" i="1" s="1"/>
  <c r="BX157" i="1" s="1"/>
  <c r="BY157" i="1" s="1"/>
  <c r="BZ157" i="1" s="1"/>
  <c r="CA157" i="1" s="1"/>
  <c r="CB157" i="1" s="1"/>
  <c r="CC157" i="1" s="1"/>
  <c r="CD157" i="1" s="1"/>
  <c r="CE157" i="1" s="1"/>
  <c r="CF157" i="1" s="1"/>
  <c r="CG157" i="1" s="1"/>
  <c r="CH157" i="1" s="1"/>
  <c r="CI157" i="1" s="1"/>
  <c r="CJ157" i="1" s="1"/>
  <c r="CK157" i="1" s="1"/>
  <c r="CL157" i="1" s="1"/>
  <c r="CM157" i="1" s="1"/>
  <c r="CN157" i="1" s="1"/>
  <c r="CO157" i="1" s="1"/>
  <c r="CP157" i="1" s="1"/>
  <c r="CQ157" i="1" s="1"/>
  <c r="AK157" i="1"/>
  <c r="AL157" i="1" s="1"/>
  <c r="AM157" i="1" s="1"/>
  <c r="AN157" i="1" s="1"/>
  <c r="AO157" i="1" s="1"/>
  <c r="AP157" i="1" s="1"/>
  <c r="AQ157" i="1" s="1"/>
  <c r="AR157" i="1" s="1"/>
  <c r="AS157" i="1" s="1"/>
  <c r="AT157" i="1" s="1"/>
  <c r="AU157" i="1" s="1"/>
  <c r="AV157" i="1" s="1"/>
  <c r="AW157" i="1" s="1"/>
  <c r="AX157" i="1" s="1"/>
  <c r="AY157" i="1" s="1"/>
  <c r="AZ157" i="1" s="1"/>
  <c r="BA157" i="1" s="1"/>
  <c r="BB157" i="1" s="1"/>
  <c r="BC157" i="1" s="1"/>
  <c r="BD157" i="1" s="1"/>
  <c r="BE157" i="1" s="1"/>
  <c r="BF157" i="1" s="1"/>
  <c r="BG157" i="1" s="1"/>
  <c r="BH157" i="1" s="1"/>
  <c r="BI157" i="1" s="1"/>
  <c r="F59" i="1"/>
  <c r="G59" i="1" s="1"/>
  <c r="H59" i="1" s="1"/>
  <c r="I59" i="1" s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</calcChain>
</file>

<file path=xl/sharedStrings.xml><?xml version="1.0" encoding="utf-8"?>
<sst xmlns="http://schemas.openxmlformats.org/spreadsheetml/2006/main" count="2011" uniqueCount="289">
  <si>
    <t>Class 1</t>
  </si>
  <si>
    <t>Troy</t>
  </si>
  <si>
    <t>Mathew</t>
  </si>
  <si>
    <t>Kieran</t>
  </si>
  <si>
    <t>Sean</t>
  </si>
  <si>
    <t>Class 2</t>
  </si>
  <si>
    <t>Lucy</t>
  </si>
  <si>
    <t>Class 3</t>
  </si>
  <si>
    <t>Robert</t>
  </si>
  <si>
    <t>Jamie</t>
  </si>
  <si>
    <t>Aaron</t>
  </si>
  <si>
    <t>Zak</t>
  </si>
  <si>
    <t>Bespoke</t>
  </si>
  <si>
    <t>James</t>
  </si>
  <si>
    <t>Outreach</t>
  </si>
  <si>
    <t>Lewis</t>
  </si>
  <si>
    <t>MCW</t>
  </si>
  <si>
    <t>Muditha</t>
  </si>
  <si>
    <t>Name</t>
  </si>
  <si>
    <t>Code</t>
  </si>
  <si>
    <t>Id</t>
  </si>
  <si>
    <t>Classroom 1</t>
  </si>
  <si>
    <t>Classroom 2</t>
  </si>
  <si>
    <t>Classroom 3</t>
  </si>
  <si>
    <t>Shared Learning</t>
  </si>
  <si>
    <t>Breakout Room</t>
  </si>
  <si>
    <t>Safe Space</t>
  </si>
  <si>
    <t>Life Skills Room</t>
  </si>
  <si>
    <t>Dinning Hall</t>
  </si>
  <si>
    <t>Playground</t>
  </si>
  <si>
    <t>Out of School</t>
  </si>
  <si>
    <t>C1</t>
  </si>
  <si>
    <t>C2</t>
  </si>
  <si>
    <t>C3</t>
  </si>
  <si>
    <t>SL</t>
  </si>
  <si>
    <t>BR</t>
  </si>
  <si>
    <t>SS</t>
  </si>
  <si>
    <t>LS</t>
  </si>
  <si>
    <t>DH</t>
  </si>
  <si>
    <t>PG</t>
  </si>
  <si>
    <t>O</t>
  </si>
  <si>
    <t>Darnley</t>
  </si>
  <si>
    <t>D</t>
  </si>
  <si>
    <t>ToryGlen Base</t>
  </si>
  <si>
    <t>TG</t>
  </si>
  <si>
    <t>Period</t>
  </si>
  <si>
    <t>Start Time</t>
  </si>
  <si>
    <t>Duration</t>
  </si>
  <si>
    <t>Pupil</t>
  </si>
  <si>
    <t>Class</t>
  </si>
  <si>
    <t>ShortCode</t>
  </si>
  <si>
    <t>o</t>
  </si>
  <si>
    <t>b</t>
  </si>
  <si>
    <t>c3</t>
  </si>
  <si>
    <t>c2</t>
  </si>
  <si>
    <t>c1</t>
  </si>
  <si>
    <t>Monday</t>
  </si>
  <si>
    <t>Tuesday</t>
  </si>
  <si>
    <t>Wed</t>
  </si>
  <si>
    <t>Thurs</t>
  </si>
  <si>
    <t>Fri</t>
  </si>
  <si>
    <t>Room</t>
  </si>
  <si>
    <t>Teacher 2</t>
  </si>
  <si>
    <t>Teacher 3</t>
  </si>
  <si>
    <t>PSA1</t>
  </si>
  <si>
    <t>PSA2</t>
  </si>
  <si>
    <t>PSA3</t>
  </si>
  <si>
    <t>PSA4</t>
  </si>
  <si>
    <t>Description</t>
  </si>
  <si>
    <t>Alice</t>
  </si>
  <si>
    <t>Jackie</t>
  </si>
  <si>
    <t>Helen</t>
  </si>
  <si>
    <t>Fran</t>
  </si>
  <si>
    <t>Peter</t>
  </si>
  <si>
    <t>Ellen</t>
  </si>
  <si>
    <t>Daniel</t>
  </si>
  <si>
    <t>Lorna</t>
  </si>
  <si>
    <t>Amy</t>
  </si>
  <si>
    <t>Snack</t>
  </si>
  <si>
    <t>Morag</t>
  </si>
  <si>
    <t>Lynn</t>
  </si>
  <si>
    <t>Roseanne</t>
  </si>
  <si>
    <t>Linda</t>
  </si>
  <si>
    <t>Heather M</t>
  </si>
  <si>
    <t>Teacher 4</t>
  </si>
  <si>
    <t>Top Corridor</t>
  </si>
  <si>
    <t>TC</t>
  </si>
  <si>
    <t>Teacher 1</t>
  </si>
  <si>
    <t>Short Name</t>
  </si>
  <si>
    <t>Long Name</t>
  </si>
  <si>
    <t>End P</t>
  </si>
  <si>
    <t>Subclass</t>
  </si>
  <si>
    <t>MG1</t>
  </si>
  <si>
    <t>MG2</t>
  </si>
  <si>
    <t>Lesson</t>
  </si>
  <si>
    <t>Whole School</t>
  </si>
  <si>
    <t>ws</t>
  </si>
  <si>
    <t xml:space="preserve">Morning Group 1 </t>
  </si>
  <si>
    <t>Morning Group 2</t>
  </si>
  <si>
    <t>ComL 2</t>
  </si>
  <si>
    <t>ComL 1</t>
  </si>
  <si>
    <t>T</t>
  </si>
  <si>
    <t>0 means pupil does not attend school at that period</t>
  </si>
  <si>
    <t>F</t>
  </si>
  <si>
    <t>Main</t>
  </si>
  <si>
    <t>John H</t>
  </si>
  <si>
    <t>M Group 1</t>
  </si>
  <si>
    <t>M Group 2</t>
  </si>
  <si>
    <t>Level</t>
  </si>
  <si>
    <t>P1</t>
  </si>
  <si>
    <t>P2</t>
  </si>
  <si>
    <t>P3</t>
  </si>
  <si>
    <t>Lunch</t>
  </si>
  <si>
    <t>Outside</t>
  </si>
  <si>
    <t>P4</t>
  </si>
  <si>
    <t>Staff</t>
  </si>
  <si>
    <t>Claudia</t>
  </si>
  <si>
    <t>Heather H</t>
  </si>
  <si>
    <t>Heather L</t>
  </si>
  <si>
    <t>Mairi</t>
  </si>
  <si>
    <t>Anne</t>
  </si>
  <si>
    <t>Teachers</t>
  </si>
  <si>
    <t>Management</t>
  </si>
  <si>
    <t>PSAs</t>
  </si>
  <si>
    <t>Externals</t>
  </si>
  <si>
    <t>SAS 1</t>
  </si>
  <si>
    <t>Type</t>
  </si>
  <si>
    <t>ID</t>
  </si>
  <si>
    <t>Teacher</t>
  </si>
  <si>
    <t>PSA</t>
  </si>
  <si>
    <t>External</t>
  </si>
  <si>
    <t>Row</t>
  </si>
  <si>
    <t>Absent Staff</t>
  </si>
  <si>
    <t>Staff not contracted to work</t>
  </si>
  <si>
    <t>Wednesday</t>
  </si>
  <si>
    <t>Thursday</t>
  </si>
  <si>
    <t>Friday</t>
  </si>
  <si>
    <t>Lessons</t>
  </si>
  <si>
    <t>Lesson List</t>
  </si>
  <si>
    <t>Not Contracted</t>
  </si>
  <si>
    <t>$D$22:$E$22</t>
  </si>
  <si>
    <t>Room: Classroom 1</t>
  </si>
  <si>
    <t>Room: Classroom 2</t>
  </si>
  <si>
    <t>Room: Classroom 3</t>
  </si>
  <si>
    <t>Room: Safe Space</t>
  </si>
  <si>
    <t>Room: Out of School</t>
  </si>
  <si>
    <t>Aiden</t>
  </si>
  <si>
    <t>Alfie</t>
  </si>
  <si>
    <t>John C</t>
  </si>
  <si>
    <t>Benjamin W</t>
  </si>
  <si>
    <t>Ben J</t>
  </si>
  <si>
    <t>$K$215:$P$215</t>
  </si>
  <si>
    <t>$H$7:$M$7</t>
  </si>
  <si>
    <t>$H$11:$M$11</t>
  </si>
  <si>
    <t>$H$20:$M$20</t>
  </si>
  <si>
    <t>Room: Darnley</t>
  </si>
  <si>
    <t>B-MCW</t>
  </si>
  <si>
    <t>Jay</t>
  </si>
  <si>
    <t>Zoe</t>
  </si>
  <si>
    <t>Soft Start</t>
  </si>
  <si>
    <t>Soft Start -Class 1</t>
  </si>
  <si>
    <t>Calum</t>
  </si>
  <si>
    <t>ss c2</t>
  </si>
  <si>
    <t>ss c1</t>
  </si>
  <si>
    <t>Soft Start - Class 2</t>
  </si>
  <si>
    <t>ss c3</t>
  </si>
  <si>
    <t>Soft Start - Class 3</t>
  </si>
  <si>
    <t>S</t>
  </si>
  <si>
    <t>L</t>
  </si>
  <si>
    <t>Outdoors</t>
  </si>
  <si>
    <t>c3-a</t>
  </si>
  <si>
    <t>Benjamin</t>
  </si>
  <si>
    <t>B-JS</t>
  </si>
  <si>
    <t>$E$215:$F$216</t>
  </si>
  <si>
    <t>$N$7:$O$7</t>
  </si>
  <si>
    <t>$P$10:$Q$10</t>
  </si>
  <si>
    <t>$N$11:$O$11</t>
  </si>
  <si>
    <t>$P$14:$Q$14</t>
  </si>
  <si>
    <t>$B$20:$C$20</t>
  </si>
  <si>
    <t>$D$20:$E$20</t>
  </si>
  <si>
    <t>$N$20:$O$20</t>
  </si>
  <si>
    <t>$N$22:$O$22</t>
  </si>
  <si>
    <t>$P$23:$Q$23</t>
  </si>
  <si>
    <t>$H$24:$M$24</t>
  </si>
  <si>
    <t>$N$25:$O$25</t>
  </si>
  <si>
    <t>$B$22:$C$22</t>
  </si>
  <si>
    <t>$B$27:$C$27</t>
  </si>
  <si>
    <t>Room: Dinning Hall</t>
  </si>
  <si>
    <t>Room: Playground</t>
  </si>
  <si>
    <t>Room: Life Skills Room</t>
  </si>
  <si>
    <t>Catherne</t>
  </si>
  <si>
    <t>$P$32:$Q$32</t>
  </si>
  <si>
    <t>$E$222:$F$223</t>
  </si>
  <si>
    <t>$K$229:$P$229</t>
  </si>
  <si>
    <t>$E$229:$F$230</t>
  </si>
  <si>
    <t>$B$21:$C$21</t>
  </si>
  <si>
    <t>$D$23:$E$23</t>
  </si>
  <si>
    <t>$B$24:$C$24</t>
  </si>
  <si>
    <t>Ben</t>
  </si>
  <si>
    <t>$H$23:$M$23</t>
  </si>
  <si>
    <t>$D$21:$E$21</t>
  </si>
  <si>
    <t>$H$21:$M$21</t>
  </si>
  <si>
    <t>$B$23:$C$23</t>
  </si>
  <si>
    <t>$D$27:$E$27</t>
  </si>
  <si>
    <t>Morning Group</t>
  </si>
  <si>
    <t>P5</t>
  </si>
  <si>
    <t>P6</t>
  </si>
  <si>
    <t>$U$215:$AA$215</t>
  </si>
  <si>
    <t>$U$222:$AA$222</t>
  </si>
  <si>
    <t>$U$229:$V$230</t>
  </si>
  <si>
    <t>$R$10:$X$10</t>
  </si>
  <si>
    <t>$R$20:$X$20</t>
  </si>
  <si>
    <t>$R$22:$X$22</t>
  </si>
  <si>
    <t>End Time</t>
  </si>
  <si>
    <t>$K$222:$M$223</t>
  </si>
  <si>
    <t>$N$222:$P$223</t>
  </si>
  <si>
    <t>$H$22:$J$22</t>
  </si>
  <si>
    <t>$K$22:$M$22</t>
  </si>
  <si>
    <t>Heahter L</t>
  </si>
  <si>
    <t>B-LA</t>
  </si>
  <si>
    <t>Swimming</t>
  </si>
  <si>
    <t>Café</t>
  </si>
  <si>
    <t>B-BW</t>
  </si>
  <si>
    <t xml:space="preserve">Cardonald </t>
  </si>
  <si>
    <t>Cardonald</t>
  </si>
  <si>
    <t>c3-b</t>
  </si>
  <si>
    <t>c3-c</t>
  </si>
  <si>
    <t>Parkhill</t>
  </si>
  <si>
    <t>c3-d</t>
  </si>
  <si>
    <t>Anniesland</t>
  </si>
  <si>
    <t>$G$231:$P$231</t>
  </si>
  <si>
    <t>$S$232:$AA$232</t>
  </si>
  <si>
    <t>$S$233:$AA$233</t>
  </si>
  <si>
    <t>$W$234:$AA$234</t>
  </si>
  <si>
    <t>$U$235:$AA$235</t>
  </si>
  <si>
    <t>$G$241:$P$241</t>
  </si>
  <si>
    <t>$U$241:$V$242</t>
  </si>
  <si>
    <t>$Q$241:$T$241</t>
  </si>
  <si>
    <t>$W$241:$Y$241</t>
  </si>
  <si>
    <t>$E$243:$X$243</t>
  </si>
  <si>
    <t>$U$244:$AA$244</t>
  </si>
  <si>
    <t>$E$246:$N$246</t>
  </si>
  <si>
    <t>$G$252:$H$255</t>
  </si>
  <si>
    <t>$I$252:$J$254</t>
  </si>
  <si>
    <t>$Q$252:$R$255</t>
  </si>
  <si>
    <t>$S$252:$T$255</t>
  </si>
  <si>
    <t>$G$256:$H$259</t>
  </si>
  <si>
    <t>$B$6:$U$6</t>
  </si>
  <si>
    <t>$R$7:$S$7</t>
  </si>
  <si>
    <t>$D$10:$E$10</t>
  </si>
  <si>
    <t>$F$10:$G$10</t>
  </si>
  <si>
    <t>$P$12:$Q$12</t>
  </si>
  <si>
    <t>$B$12:$K$12</t>
  </si>
  <si>
    <t>$T$12:$V$12</t>
  </si>
  <si>
    <t>$H$14:$M$14</t>
  </si>
  <si>
    <t>$R$14:$X$14</t>
  </si>
  <si>
    <t>$B$16:$U$16</t>
  </si>
  <si>
    <t>$T$21:$X$21</t>
  </si>
  <si>
    <t>$P$23:$X$23</t>
  </si>
  <si>
    <t>$D$24:$E$24</t>
  </si>
  <si>
    <t>$R$24:$X$24</t>
  </si>
  <si>
    <t>$D$25:$M$25</t>
  </si>
  <si>
    <t>$R$25:$X$25</t>
  </si>
  <si>
    <t>$H$27:$M$27</t>
  </si>
  <si>
    <t>$D$29:$M$29</t>
  </si>
  <si>
    <t>$R$29:$S$29</t>
  </si>
  <si>
    <t>$N$29:$Q$29</t>
  </si>
  <si>
    <t>$T$29:$V$29</t>
  </si>
  <si>
    <t>$D$30:$E$30</t>
  </si>
  <si>
    <t>$N$30:$Q$30</t>
  </si>
  <si>
    <t>$B$32:$C$32</t>
  </si>
  <si>
    <t>$D$32:$E$32</t>
  </si>
  <si>
    <t>$R$32:$X$32</t>
  </si>
  <si>
    <t>$K$10:$M$10</t>
  </si>
  <si>
    <t>$K$32:$M$32</t>
  </si>
  <si>
    <t>$H$10:$J$10</t>
  </si>
  <si>
    <t>$H$32:$J$32</t>
  </si>
  <si>
    <t>$R$8:$X$8</t>
  </si>
  <si>
    <t>$D$9:$E$9</t>
  </si>
  <si>
    <t>$F$9:$G$9</t>
  </si>
  <si>
    <t>$R$9:$X$9</t>
  </si>
  <si>
    <t>$D$26:$M$26</t>
  </si>
  <si>
    <t>$W$229:$AA$229</t>
  </si>
  <si>
    <t>$T$7:$X$7</t>
  </si>
  <si>
    <t>$R$12:$S$12</t>
  </si>
  <si>
    <t>$R$26:$S$26</t>
  </si>
  <si>
    <t>$T$26:$X$26</t>
  </si>
  <si>
    <t>$R$30:$S$30</t>
  </si>
  <si>
    <t>$T$30:$X$30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</si>
</sst>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indexed="26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0" borderId="0" xfId="0" applyFont="1"/>
    <xf numFmtId="2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3" borderId="4" xfId="0" applyFont="1" applyFill="1" applyBorder="1"/>
    <xf numFmtId="20" fontId="3" fillId="0" borderId="0" xfId="0" applyNumberFormat="1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2" fontId="2" fillId="0" borderId="0" xfId="0" applyNumberFormat="1" applyFont="1"/>
    <xf numFmtId="0" fontId="2" fillId="0" borderId="4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0" xfId="0" applyFont="1" applyFill="1" applyBorder="1"/>
    <xf numFmtId="0" fontId="3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3" fillId="0" borderId="7" xfId="0" applyFont="1" applyBorder="1" applyAlignment="1">
      <alignment horizontal="center"/>
    </xf>
    <xf numFmtId="0" fontId="2" fillId="3" borderId="9" xfId="0" applyFont="1" applyFill="1" applyBorder="1"/>
    <xf numFmtId="0" fontId="2" fillId="3" borderId="10" xfId="0" applyFont="1" applyFill="1" applyBorder="1"/>
    <xf numFmtId="0" fontId="2" fillId="3" borderId="7" xfId="0" applyFont="1" applyFill="1" applyBorder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20" fontId="3" fillId="0" borderId="0" xfId="0" applyNumberFormat="1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3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20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2" borderId="11" xfId="0" applyFont="1" applyFill="1" applyBorder="1"/>
    <xf numFmtId="0" fontId="2" fillId="2" borderId="14" xfId="0" applyFont="1" applyFill="1" applyBorder="1"/>
    <xf numFmtId="0" fontId="2" fillId="2" borderId="13" xfId="0" applyFont="1" applyFill="1" applyBorder="1"/>
    <xf numFmtId="0" fontId="2" fillId="2" borderId="16" xfId="0" applyFont="1" applyFill="1" applyBorder="1"/>
    <xf numFmtId="0" fontId="2" fillId="2" borderId="9" xfId="0" applyFont="1" applyFill="1" applyBorder="1"/>
    <xf numFmtId="0" fontId="2" fillId="2" borderId="4" xfId="0" applyFont="1" applyFill="1" applyBorder="1"/>
    <xf numFmtId="0" fontId="2" fillId="2" borderId="10" xfId="0" applyFont="1" applyFill="1" applyBorder="1"/>
    <xf numFmtId="0" fontId="2" fillId="0" borderId="1" xfId="0" applyFont="1" applyBorder="1"/>
    <xf numFmtId="0" fontId="2" fillId="2" borderId="8" xfId="0" applyFont="1" applyFill="1" applyBorder="1"/>
    <xf numFmtId="0" fontId="2" fillId="2" borderId="1" xfId="0" applyFont="1" applyFill="1" applyBorder="1"/>
    <xf numFmtId="0" fontId="2" fillId="2" borderId="12" xfId="0" applyFont="1" applyFill="1" applyBorder="1"/>
    <xf numFmtId="0" fontId="2" fillId="2" borderId="15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2" fillId="4" borderId="10" xfId="0" applyFont="1" applyFill="1" applyBorder="1"/>
    <xf numFmtId="0" fontId="0" fillId="3" borderId="21" xfId="0" applyFill="1" applyBorder="1" applyAlignment="1">
      <alignment vertical="center"/>
    </xf>
    <xf numFmtId="0" fontId="0" fillId="3" borderId="22" xfId="0" applyFill="1" applyBorder="1" applyAlignment="1">
      <alignment vertical="center"/>
    </xf>
    <xf numFmtId="0" fontId="0" fillId="3" borderId="18" xfId="0" applyFill="1" applyBorder="1" applyAlignment="1">
      <alignment vertical="center"/>
    </xf>
    <xf numFmtId="0" fontId="0" fillId="3" borderId="19" xfId="0" applyFill="1" applyBorder="1" applyAlignment="1">
      <alignment vertical="center"/>
    </xf>
    <xf numFmtId="0" fontId="2" fillId="3" borderId="11" xfId="0" applyFont="1" applyFill="1" applyBorder="1"/>
    <xf numFmtId="0" fontId="2" fillId="3" borderId="8" xfId="0" applyFont="1" applyFill="1" applyBorder="1"/>
    <xf numFmtId="0" fontId="2" fillId="3" borderId="14" xfId="0" applyFont="1" applyFill="1" applyBorder="1"/>
    <xf numFmtId="0" fontId="2" fillId="3" borderId="12" xfId="0" applyFont="1" applyFill="1" applyBorder="1"/>
    <xf numFmtId="0" fontId="2" fillId="3" borderId="0" xfId="0" applyFont="1" applyFill="1" applyBorder="1"/>
    <xf numFmtId="0" fontId="2" fillId="3" borderId="15" xfId="0" applyFont="1" applyFill="1" applyBorder="1"/>
    <xf numFmtId="0" fontId="2" fillId="3" borderId="13" xfId="0" applyFont="1" applyFill="1" applyBorder="1"/>
    <xf numFmtId="0" fontId="2" fillId="3" borderId="1" xfId="0" applyFont="1" applyFill="1" applyBorder="1"/>
    <xf numFmtId="0" fontId="2" fillId="3" borderId="16" xfId="0" applyFont="1" applyFill="1" applyBorder="1"/>
    <xf numFmtId="0" fontId="2" fillId="3" borderId="17" xfId="0" applyFont="1" applyFill="1" applyBorder="1"/>
    <xf numFmtId="0" fontId="2" fillId="3" borderId="18" xfId="0" applyFont="1" applyFill="1" applyBorder="1"/>
    <xf numFmtId="0" fontId="2" fillId="3" borderId="19" xfId="0" applyFont="1" applyFill="1" applyBorder="1"/>
    <xf numFmtId="0" fontId="2" fillId="3" borderId="20" xfId="0" applyFont="1" applyFill="1" applyBorder="1"/>
    <xf numFmtId="0" fontId="2" fillId="3" borderId="21" xfId="0" applyFont="1" applyFill="1" applyBorder="1"/>
  </cellXfs>
  <cellStyles count="1">
    <cellStyle name="Normal" xfId="0" builtinId="0"/>
  </cellStyles>
  <dxfs count="1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610</xdr:row>
          <xdr:rowOff>50800</xdr:rowOff>
        </xdr:from>
        <xdr:to>
          <xdr:col>5</xdr:col>
          <xdr:colOff>419100</xdr:colOff>
          <xdr:row>612</xdr:row>
          <xdr:rowOff>82550</xdr:rowOff>
        </xdr:to>
        <xdr:sp macro="" textlink="">
          <xdr:nvSpPr>
            <xdr:cNvPr id="1027" name="CheckLessonIDs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257</xdr:row>
          <xdr:rowOff>95250</xdr:rowOff>
        </xdr:from>
        <xdr:to>
          <xdr:col>16</xdr:col>
          <xdr:colOff>196850</xdr:colOff>
          <xdr:row>599</xdr:row>
          <xdr:rowOff>152400</xdr:rowOff>
        </xdr:to>
        <xdr:sp macro="" textlink="">
          <xdr:nvSpPr>
            <xdr:cNvPr id="1032" name="PopulateTimeTableButto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393700</xdr:colOff>
          <xdr:row>43</xdr:row>
          <xdr:rowOff>31750</xdr:rowOff>
        </xdr:from>
        <xdr:to>
          <xdr:col>3</xdr:col>
          <xdr:colOff>107950</xdr:colOff>
          <xdr:row>45</xdr:row>
          <xdr:rowOff>19050</xdr:rowOff>
        </xdr:to>
        <xdr:sp macro="" textlink="">
          <xdr:nvSpPr>
            <xdr:cNvPr id="2049" name="Clear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0</xdr:row>
          <xdr:rowOff>165100</xdr:rowOff>
        </xdr:from>
        <xdr:to>
          <xdr:col>2</xdr:col>
          <xdr:colOff>374650</xdr:colOff>
          <xdr:row>2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152400</xdr:rowOff>
        </xdr:from>
        <xdr:to>
          <xdr:col>4</xdr:col>
          <xdr:colOff>171450</xdr:colOff>
          <xdr:row>2</xdr:row>
          <xdr:rowOff>63500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0</xdr:row>
          <xdr:rowOff>50800</xdr:rowOff>
        </xdr:from>
        <xdr:to>
          <xdr:col>14</xdr:col>
          <xdr:colOff>228600</xdr:colOff>
          <xdr:row>2</xdr:row>
          <xdr:rowOff>82550</xdr:rowOff>
        </xdr:to>
        <xdr:sp macro="" textlink="">
          <xdr:nvSpPr>
            <xdr:cNvPr id="4100" name="ArrangeCoverButt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6" name="ClassroomsTable" displayName="ClassroomsTable" ref="V38:X51" totalsRowShown="0" headerRowDxfId="14">
  <autoFilter ref="V38:X51"/>
  <tableColumns count="3">
    <tableColumn id="1" name="Id"/>
    <tableColumn id="2" name="Name"/>
    <tableColumn id="3" name="Co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PeriodTable" displayName="PeriodTable" ref="AF6:AI32" totalsRowShown="0">
  <autoFilter ref="AF6:AI32"/>
  <tableColumns count="4">
    <tableColumn id="1" name="Period"/>
    <tableColumn id="2" name="Start Time" dataDxfId="13"/>
    <tableColumn id="3" name="Duration"/>
    <tableColumn id="4" name="End Time" dataDxfId="12">
      <calculatedColumnFormula>AG8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PupilTable" displayName="PupilTable" ref="B6:D25" totalsRowShown="0" headerRowDxfId="11" dataDxfId="10">
  <autoFilter ref="B6:D25"/>
  <tableColumns count="3">
    <tableColumn id="1" name="Pupil" dataDxfId="9"/>
    <tableColumn id="2" name="Class" dataDxfId="8"/>
    <tableColumn id="3" name="Id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ClassTable" displayName="ClassTable" ref="H40:J46" totalsRowShown="0">
  <autoFilter ref="H40:J46"/>
  <tableColumns count="3">
    <tableColumn id="1" name="Class"/>
    <tableColumn id="2" name="Name"/>
    <tableColumn id="3" name="ShortCod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StaffTable" displayName="StaffTable" ref="N6:Q30" totalsRowShown="0" headerRowDxfId="6" dataDxfId="5">
  <autoFilter ref="N6:Q30"/>
  <tableColumns count="4">
    <tableColumn id="1" name="Staff" dataDxfId="4"/>
    <tableColumn id="2" name="Type" dataDxfId="3"/>
    <tableColumn id="3" name="ID" dataDxfId="2">
      <calculatedColumnFormula>P6+1</calculatedColumnFormula>
    </tableColumn>
    <tableColumn id="4" name="Row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NonContractedStaffTable" displayName="NonContractedStaffTable" ref="AM6:AQ10" totalsRowShown="0" headerRowDxfId="0">
  <autoFilter ref="AM6:AQ10"/>
  <tableColumns count="5">
    <tableColumn id="1" name="Monday"/>
    <tableColumn id="2" name="Tuesday"/>
    <tableColumn id="3" name="Wednesday"/>
    <tableColumn id="4" name="Thursday"/>
    <tableColumn id="5" name="Frida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13" Type="http://schemas.openxmlformats.org/officeDocument/2006/relationships/table" Target="../tables/table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4.xml"/><Relationship Id="rId5" Type="http://schemas.openxmlformats.org/officeDocument/2006/relationships/image" Target="../media/image1.emf"/><Relationship Id="rId10" Type="http://schemas.openxmlformats.org/officeDocument/2006/relationships/table" Target="../tables/table3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C603"/>
  <sheetViews>
    <sheetView tabSelected="1" topLeftCell="B210" zoomScaleNormal="100" workbookViewId="0">
      <selection activeCell="G246" sqref="G246"/>
    </sheetView>
  </sheetViews>
  <sheetFormatPr defaultRowHeight="14.5" x14ac:dyDescent="0.35"/>
  <cols>
    <col min="3" max="3" width="8.54296875" customWidth="1"/>
    <col min="4" max="4" width="8.81640625" customWidth="1"/>
    <col min="5" max="18" width="6.54296875" customWidth="1"/>
    <col min="19" max="19" width="7.54296875" customWidth="1"/>
    <col min="20" max="30" width="6.54296875" customWidth="1"/>
  </cols>
  <sheetData>
    <row r="1" spans="2:43" hidden="1" x14ac:dyDescent="0.35"/>
    <row r="2" spans="2:43" hidden="1" x14ac:dyDescent="0.35"/>
    <row r="3" spans="2:43" hidden="1" x14ac:dyDescent="0.35"/>
    <row r="4" spans="2:43" hidden="1" x14ac:dyDescent="0.35">
      <c r="C4" s="1"/>
      <c r="D4" s="1"/>
      <c r="E4" s="1"/>
      <c r="F4" s="1"/>
      <c r="G4" s="1"/>
      <c r="AM4" t="s">
        <v>133</v>
      </c>
    </row>
    <row r="5" spans="2:43" ht="15" hidden="1" thickBot="1" x14ac:dyDescent="0.4"/>
    <row r="6" spans="2:43" ht="15" hidden="1" thickBot="1" x14ac:dyDescent="0.4">
      <c r="B6" s="7" t="s">
        <v>48</v>
      </c>
      <c r="C6" s="7" t="s">
        <v>49</v>
      </c>
      <c r="D6" s="7" t="s">
        <v>20</v>
      </c>
      <c r="E6" s="7"/>
      <c r="F6" s="7"/>
      <c r="G6" s="7"/>
      <c r="H6" s="16"/>
      <c r="I6" s="16"/>
      <c r="J6" s="16"/>
      <c r="K6" s="16"/>
      <c r="L6" s="16"/>
      <c r="M6" s="16"/>
      <c r="N6" s="14" t="s">
        <v>115</v>
      </c>
      <c r="O6" s="15" t="s">
        <v>126</v>
      </c>
      <c r="P6" s="8" t="s">
        <v>127</v>
      </c>
      <c r="Q6" s="8" t="s">
        <v>131</v>
      </c>
      <c r="R6" s="7"/>
      <c r="S6" s="7"/>
      <c r="T6" s="7"/>
      <c r="U6" s="7"/>
      <c r="V6" s="7"/>
      <c r="W6" s="7"/>
      <c r="X6" s="7"/>
      <c r="Y6" s="7"/>
      <c r="Z6" s="7"/>
      <c r="AF6" t="s">
        <v>45</v>
      </c>
      <c r="AG6" t="s">
        <v>46</v>
      </c>
      <c r="AH6" t="s">
        <v>47</v>
      </c>
      <c r="AI6" t="s">
        <v>213</v>
      </c>
      <c r="AM6" s="1" t="s">
        <v>56</v>
      </c>
      <c r="AN6" s="1" t="s">
        <v>57</v>
      </c>
      <c r="AO6" s="1" t="s">
        <v>134</v>
      </c>
      <c r="AP6" s="1" t="s">
        <v>135</v>
      </c>
      <c r="AQ6" s="1" t="s">
        <v>136</v>
      </c>
    </row>
    <row r="7" spans="2:43" hidden="1" x14ac:dyDescent="0.35">
      <c r="B7" s="7" t="s">
        <v>148</v>
      </c>
      <c r="C7" s="7">
        <v>1</v>
      </c>
      <c r="D7" s="7">
        <v>1</v>
      </c>
      <c r="E7" s="7"/>
      <c r="F7" s="7"/>
      <c r="G7" s="7"/>
      <c r="H7" s="7"/>
      <c r="I7" s="7"/>
      <c r="J7" s="7"/>
      <c r="K7" s="7"/>
      <c r="L7" s="7"/>
      <c r="M7" s="7"/>
      <c r="N7" s="12" t="s">
        <v>116</v>
      </c>
      <c r="O7" s="12" t="s">
        <v>128</v>
      </c>
      <c r="P7" s="8">
        <v>1</v>
      </c>
      <c r="Q7" s="7">
        <v>6</v>
      </c>
      <c r="R7" s="7"/>
      <c r="S7" s="7"/>
      <c r="T7" s="7"/>
      <c r="U7" s="7"/>
      <c r="V7" s="7"/>
      <c r="W7" s="7"/>
      <c r="X7" s="7"/>
      <c r="Y7" s="7"/>
      <c r="Z7" s="7"/>
      <c r="AF7">
        <v>1</v>
      </c>
      <c r="AG7" s="2">
        <v>0.375</v>
      </c>
      <c r="AH7">
        <v>15</v>
      </c>
      <c r="AI7" s="2">
        <f t="shared" ref="AI7:AI31" si="0">AG8</f>
        <v>0.38541666666666669</v>
      </c>
      <c r="AM7" t="s">
        <v>117</v>
      </c>
      <c r="AQ7" t="s">
        <v>117</v>
      </c>
    </row>
    <row r="8" spans="2:43" hidden="1" x14ac:dyDescent="0.35">
      <c r="B8" s="7" t="s">
        <v>1</v>
      </c>
      <c r="C8" s="7">
        <v>1</v>
      </c>
      <c r="D8" s="7">
        <v>2</v>
      </c>
      <c r="E8" s="7"/>
      <c r="F8" s="7"/>
      <c r="G8" s="7"/>
      <c r="H8" s="7"/>
      <c r="I8" s="7"/>
      <c r="J8" s="7"/>
      <c r="K8" s="7"/>
      <c r="L8" s="7"/>
      <c r="M8" s="7"/>
      <c r="N8" s="12" t="s">
        <v>75</v>
      </c>
      <c r="O8" s="12" t="s">
        <v>128</v>
      </c>
      <c r="P8" s="8">
        <f>P7+1</f>
        <v>2</v>
      </c>
      <c r="Q8" s="7">
        <v>7</v>
      </c>
      <c r="R8" s="7"/>
      <c r="S8" s="7"/>
      <c r="T8" s="7"/>
      <c r="U8" s="7"/>
      <c r="V8" s="7"/>
      <c r="W8" s="7"/>
      <c r="X8" s="7"/>
      <c r="Y8" s="7"/>
      <c r="Z8" s="7"/>
      <c r="AF8">
        <v>2</v>
      </c>
      <c r="AG8" s="2">
        <v>0.38541666666666669</v>
      </c>
      <c r="AH8">
        <v>15</v>
      </c>
      <c r="AI8" s="2">
        <f t="shared" si="0"/>
        <v>0.39583333333333298</v>
      </c>
      <c r="AM8" t="s">
        <v>118</v>
      </c>
      <c r="AO8" t="s">
        <v>118</v>
      </c>
      <c r="AP8" t="s">
        <v>118</v>
      </c>
      <c r="AQ8" t="s">
        <v>118</v>
      </c>
    </row>
    <row r="9" spans="2:43" hidden="1" x14ac:dyDescent="0.35">
      <c r="B9" s="7" t="s">
        <v>3</v>
      </c>
      <c r="C9" s="7">
        <v>1</v>
      </c>
      <c r="D9" s="7">
        <v>3</v>
      </c>
      <c r="E9" s="7"/>
      <c r="F9" s="7"/>
      <c r="G9" s="7"/>
      <c r="H9" s="7"/>
      <c r="I9" s="7"/>
      <c r="J9" s="7"/>
      <c r="K9" s="7"/>
      <c r="L9" s="7"/>
      <c r="M9" s="7"/>
      <c r="N9" s="12" t="s">
        <v>117</v>
      </c>
      <c r="O9" s="12" t="s">
        <v>128</v>
      </c>
      <c r="P9" s="8">
        <f t="shared" ref="P9:P29" si="1">P8+1</f>
        <v>3</v>
      </c>
      <c r="Q9" s="7">
        <v>8</v>
      </c>
      <c r="R9" s="7"/>
      <c r="S9" s="7"/>
      <c r="T9" s="7"/>
      <c r="U9" s="7"/>
      <c r="V9" s="7"/>
      <c r="W9" s="7"/>
      <c r="X9" s="7"/>
      <c r="Y9" s="7"/>
      <c r="Z9" s="7"/>
      <c r="AF9">
        <v>3</v>
      </c>
      <c r="AG9" s="2">
        <v>0.39583333333333298</v>
      </c>
      <c r="AH9">
        <v>15</v>
      </c>
      <c r="AI9" s="2">
        <f t="shared" si="0"/>
        <v>0.40625</v>
      </c>
      <c r="AM9" t="s">
        <v>120</v>
      </c>
      <c r="AN9" t="s">
        <v>120</v>
      </c>
      <c r="AO9" t="s">
        <v>120</v>
      </c>
      <c r="AP9" t="s">
        <v>120</v>
      </c>
      <c r="AQ9" t="s">
        <v>120</v>
      </c>
    </row>
    <row r="10" spans="2:43" hidden="1" x14ac:dyDescent="0.35">
      <c r="B10" s="7" t="s">
        <v>2</v>
      </c>
      <c r="C10" s="7">
        <v>1</v>
      </c>
      <c r="D10" s="7">
        <v>4</v>
      </c>
      <c r="E10" s="7"/>
      <c r="F10" s="7"/>
      <c r="G10" s="7"/>
      <c r="H10" s="7"/>
      <c r="I10" s="7"/>
      <c r="J10" s="7"/>
      <c r="K10" s="7"/>
      <c r="L10" s="7"/>
      <c r="M10" s="7"/>
      <c r="N10" s="12" t="s">
        <v>118</v>
      </c>
      <c r="O10" s="12" t="s">
        <v>128</v>
      </c>
      <c r="P10" s="8">
        <f t="shared" si="1"/>
        <v>4</v>
      </c>
      <c r="Q10" s="7">
        <v>9</v>
      </c>
      <c r="R10" s="7"/>
      <c r="S10" s="7"/>
      <c r="T10" s="7"/>
      <c r="U10" s="7"/>
      <c r="V10" s="7"/>
      <c r="W10" s="7"/>
      <c r="X10" s="7"/>
      <c r="Y10" s="7"/>
      <c r="Z10" s="7"/>
      <c r="AF10">
        <v>4</v>
      </c>
      <c r="AG10" s="2">
        <v>0.40625</v>
      </c>
      <c r="AH10">
        <v>15</v>
      </c>
      <c r="AI10" s="2">
        <f t="shared" si="0"/>
        <v>0.41666666666666702</v>
      </c>
      <c r="AQ10" t="s">
        <v>80</v>
      </c>
    </row>
    <row r="11" spans="2:43" hidden="1" x14ac:dyDescent="0.35">
      <c r="B11" s="7" t="s">
        <v>4</v>
      </c>
      <c r="C11" s="7">
        <v>1</v>
      </c>
      <c r="D11" s="7">
        <v>5</v>
      </c>
      <c r="E11" s="7"/>
      <c r="F11" s="7"/>
      <c r="G11" s="7"/>
      <c r="H11" s="7"/>
      <c r="I11" s="7"/>
      <c r="J11" s="7"/>
      <c r="K11" s="7"/>
      <c r="L11" s="7"/>
      <c r="M11" s="7"/>
      <c r="N11" s="12" t="s">
        <v>83</v>
      </c>
      <c r="O11" s="12" t="s">
        <v>128</v>
      </c>
      <c r="P11" s="8">
        <f t="shared" si="1"/>
        <v>5</v>
      </c>
      <c r="Q11" s="7">
        <v>10</v>
      </c>
      <c r="R11" s="7"/>
      <c r="S11" s="7"/>
      <c r="T11" s="7"/>
      <c r="U11" s="7"/>
      <c r="V11" s="7"/>
      <c r="W11" s="7"/>
      <c r="X11" s="7"/>
      <c r="Y11" s="7"/>
      <c r="Z11" s="7"/>
      <c r="AF11">
        <v>5</v>
      </c>
      <c r="AG11" s="2">
        <v>0.41666666666666702</v>
      </c>
      <c r="AH11">
        <v>10</v>
      </c>
      <c r="AI11" s="2">
        <f t="shared" si="0"/>
        <v>0.4236111111111111</v>
      </c>
    </row>
    <row r="12" spans="2:43" hidden="1" x14ac:dyDescent="0.35">
      <c r="B12" s="7" t="s">
        <v>146</v>
      </c>
      <c r="C12" s="7">
        <v>2</v>
      </c>
      <c r="D12" s="7">
        <v>6</v>
      </c>
      <c r="E12" s="7"/>
      <c r="F12" s="7"/>
      <c r="G12" s="7"/>
      <c r="H12" s="7"/>
      <c r="I12" s="7"/>
      <c r="J12" s="7"/>
      <c r="K12" s="7"/>
      <c r="L12" s="7"/>
      <c r="M12" s="7"/>
      <c r="N12" s="12" t="s">
        <v>79</v>
      </c>
      <c r="O12" s="12" t="s">
        <v>128</v>
      </c>
      <c r="P12" s="8">
        <f t="shared" si="1"/>
        <v>6</v>
      </c>
      <c r="Q12" s="7">
        <v>11</v>
      </c>
      <c r="R12" s="7"/>
      <c r="S12" s="7"/>
      <c r="T12" s="7"/>
      <c r="U12" s="7"/>
      <c r="V12" s="7"/>
      <c r="W12" s="7"/>
      <c r="X12" s="7"/>
      <c r="Y12" s="7"/>
      <c r="Z12" s="7"/>
      <c r="AF12">
        <v>6</v>
      </c>
      <c r="AG12" s="2">
        <v>0.4236111111111111</v>
      </c>
      <c r="AH12">
        <v>10</v>
      </c>
      <c r="AI12" s="2">
        <f t="shared" si="0"/>
        <v>0.43055555555555558</v>
      </c>
    </row>
    <row r="13" spans="2:43" hidden="1" x14ac:dyDescent="0.35">
      <c r="B13" s="7" t="s">
        <v>147</v>
      </c>
      <c r="C13" s="7">
        <v>2</v>
      </c>
      <c r="D13" s="7">
        <v>7</v>
      </c>
      <c r="E13" s="7"/>
      <c r="F13" s="7"/>
      <c r="G13" s="7"/>
      <c r="H13" s="7"/>
      <c r="I13" s="7"/>
      <c r="J13" s="7"/>
      <c r="K13" s="7"/>
      <c r="L13" s="7"/>
      <c r="M13" s="7"/>
      <c r="N13" s="12" t="s">
        <v>73</v>
      </c>
      <c r="O13" s="12" t="s">
        <v>128</v>
      </c>
      <c r="P13" s="8">
        <f t="shared" si="1"/>
        <v>7</v>
      </c>
      <c r="Q13" s="7">
        <v>12</v>
      </c>
      <c r="R13" s="7"/>
      <c r="S13" s="7"/>
      <c r="T13" s="7"/>
      <c r="U13" s="7"/>
      <c r="V13" s="7"/>
      <c r="W13" s="7"/>
      <c r="X13" s="7"/>
      <c r="Y13" s="7"/>
      <c r="Z13" s="7"/>
      <c r="AF13">
        <v>7</v>
      </c>
      <c r="AG13" s="2">
        <v>0.43055555555555558</v>
      </c>
      <c r="AH13">
        <v>10</v>
      </c>
      <c r="AI13" s="2">
        <f t="shared" si="0"/>
        <v>0.4375</v>
      </c>
    </row>
    <row r="14" spans="2:43" hidden="1" x14ac:dyDescent="0.35">
      <c r="B14" s="7" t="s">
        <v>105</v>
      </c>
      <c r="C14" s="7">
        <v>2</v>
      </c>
      <c r="D14" s="7">
        <v>8</v>
      </c>
      <c r="E14" s="7"/>
      <c r="F14" s="7"/>
      <c r="G14" s="7"/>
      <c r="H14" s="7"/>
      <c r="I14" s="7"/>
      <c r="J14" s="7"/>
      <c r="K14" s="7"/>
      <c r="L14" s="7"/>
      <c r="M14" s="7"/>
      <c r="N14" s="12" t="s">
        <v>77</v>
      </c>
      <c r="O14" s="12" t="s">
        <v>122</v>
      </c>
      <c r="P14" s="8">
        <f t="shared" si="1"/>
        <v>8</v>
      </c>
      <c r="Q14" s="7">
        <v>14</v>
      </c>
      <c r="R14" s="7"/>
      <c r="S14" s="7"/>
      <c r="T14" s="7"/>
      <c r="U14" s="7"/>
      <c r="V14" s="7"/>
      <c r="W14" s="7"/>
      <c r="X14" s="7"/>
      <c r="Y14" s="7"/>
      <c r="Z14" s="7"/>
      <c r="AF14">
        <v>8</v>
      </c>
      <c r="AG14" s="2">
        <v>0.4375</v>
      </c>
      <c r="AH14">
        <v>10</v>
      </c>
      <c r="AI14" s="2">
        <f t="shared" si="0"/>
        <v>0.44444444444444442</v>
      </c>
    </row>
    <row r="15" spans="2:43" hidden="1" x14ac:dyDescent="0.35">
      <c r="B15" s="7" t="s">
        <v>149</v>
      </c>
      <c r="C15" s="7">
        <v>2</v>
      </c>
      <c r="D15" s="7">
        <v>9</v>
      </c>
      <c r="E15" s="7"/>
      <c r="F15" s="7"/>
      <c r="G15" s="7"/>
      <c r="H15" s="7"/>
      <c r="I15" s="7"/>
      <c r="J15" s="7"/>
      <c r="K15" s="7"/>
      <c r="L15" s="7"/>
      <c r="M15" s="7"/>
      <c r="N15" s="12" t="s">
        <v>120</v>
      </c>
      <c r="O15" s="12" t="s">
        <v>122</v>
      </c>
      <c r="P15" s="8">
        <f t="shared" si="1"/>
        <v>9</v>
      </c>
      <c r="Q15" s="7">
        <v>15</v>
      </c>
      <c r="R15" s="7"/>
      <c r="S15" s="7"/>
      <c r="T15" s="7"/>
      <c r="U15" s="7"/>
      <c r="V15" s="7"/>
      <c r="W15" s="7"/>
      <c r="X15" s="7"/>
      <c r="Y15" s="7"/>
      <c r="Z15" s="7"/>
      <c r="AF15">
        <v>9</v>
      </c>
      <c r="AG15" s="2">
        <v>0.44444444444444442</v>
      </c>
      <c r="AH15">
        <v>20</v>
      </c>
      <c r="AI15" s="2">
        <f t="shared" si="0"/>
        <v>0.45833333333333331</v>
      </c>
    </row>
    <row r="16" spans="2:43" hidden="1" x14ac:dyDescent="0.35">
      <c r="B16" s="7" t="s">
        <v>6</v>
      </c>
      <c r="C16" s="7">
        <v>2</v>
      </c>
      <c r="D16" s="7">
        <v>10</v>
      </c>
      <c r="E16" s="7"/>
      <c r="F16" s="7"/>
      <c r="G16" s="7"/>
      <c r="H16" s="7"/>
      <c r="I16" s="7"/>
      <c r="J16" s="7"/>
      <c r="K16" s="7"/>
      <c r="L16" s="7"/>
      <c r="M16" s="7"/>
      <c r="N16" s="12" t="s">
        <v>74</v>
      </c>
      <c r="O16" s="12" t="s">
        <v>122</v>
      </c>
      <c r="P16" s="8">
        <f t="shared" si="1"/>
        <v>10</v>
      </c>
      <c r="Q16" s="7">
        <v>16</v>
      </c>
      <c r="R16" s="7"/>
      <c r="S16" s="7"/>
      <c r="T16" s="7"/>
      <c r="U16" s="7"/>
      <c r="V16" s="7"/>
      <c r="W16" s="7"/>
      <c r="X16" s="7"/>
      <c r="Y16" s="7"/>
      <c r="Z16" s="7"/>
      <c r="AF16">
        <v>10</v>
      </c>
      <c r="AG16" s="2">
        <v>0.45833333333333331</v>
      </c>
      <c r="AH16">
        <v>20</v>
      </c>
      <c r="AI16" s="2">
        <f t="shared" si="0"/>
        <v>0.47222222222222227</v>
      </c>
    </row>
    <row r="17" spans="2:35" hidden="1" x14ac:dyDescent="0.35">
      <c r="B17" s="7" t="s">
        <v>8</v>
      </c>
      <c r="C17" s="7">
        <v>3</v>
      </c>
      <c r="D17" s="7">
        <v>11</v>
      </c>
      <c r="E17" s="7"/>
      <c r="F17" s="7"/>
      <c r="G17" s="7"/>
      <c r="H17" s="7"/>
      <c r="I17" s="7"/>
      <c r="J17" s="7"/>
      <c r="K17" s="7"/>
      <c r="L17" s="7"/>
      <c r="M17" s="7"/>
      <c r="N17" s="12" t="s">
        <v>76</v>
      </c>
      <c r="O17" s="12" t="s">
        <v>122</v>
      </c>
      <c r="P17" s="8">
        <f t="shared" si="1"/>
        <v>11</v>
      </c>
      <c r="Q17" s="7">
        <v>17</v>
      </c>
      <c r="R17" s="7"/>
      <c r="S17" s="7"/>
      <c r="T17" s="7"/>
      <c r="U17" s="7"/>
      <c r="V17" s="7"/>
      <c r="W17" s="7"/>
      <c r="X17" s="7"/>
      <c r="Y17" s="7"/>
      <c r="Z17" s="7"/>
      <c r="AF17">
        <v>11</v>
      </c>
      <c r="AG17" s="2">
        <v>0.47222222222222227</v>
      </c>
      <c r="AH17">
        <v>20</v>
      </c>
      <c r="AI17" s="2">
        <f t="shared" si="0"/>
        <v>0.4861111111111111</v>
      </c>
    </row>
    <row r="18" spans="2:35" hidden="1" x14ac:dyDescent="0.35">
      <c r="B18" s="7" t="s">
        <v>9</v>
      </c>
      <c r="C18" s="7">
        <v>3</v>
      </c>
      <c r="D18" s="7">
        <v>12</v>
      </c>
      <c r="E18" s="7"/>
      <c r="F18" s="7"/>
      <c r="G18" s="7"/>
      <c r="H18" s="7"/>
      <c r="I18" s="7"/>
      <c r="J18" s="7"/>
      <c r="K18" s="7"/>
      <c r="L18" s="7"/>
      <c r="M18" s="7"/>
      <c r="N18" s="12" t="s">
        <v>119</v>
      </c>
      <c r="O18" s="12" t="s">
        <v>122</v>
      </c>
      <c r="P18" s="8">
        <f t="shared" si="1"/>
        <v>12</v>
      </c>
      <c r="Q18" s="7">
        <v>18</v>
      </c>
      <c r="R18" s="7"/>
      <c r="S18" s="7"/>
      <c r="T18" s="7"/>
      <c r="U18" s="7"/>
      <c r="V18" s="7"/>
      <c r="W18" s="7"/>
      <c r="X18" s="7"/>
      <c r="Y18" s="7"/>
      <c r="Z18" s="7"/>
      <c r="AF18">
        <v>12</v>
      </c>
      <c r="AG18" s="2">
        <v>0.4861111111111111</v>
      </c>
      <c r="AH18">
        <v>20</v>
      </c>
      <c r="AI18" s="2">
        <f t="shared" si="0"/>
        <v>0.5</v>
      </c>
    </row>
    <row r="19" spans="2:35" hidden="1" x14ac:dyDescent="0.35">
      <c r="B19" s="7" t="s">
        <v>10</v>
      </c>
      <c r="C19" s="7">
        <v>3</v>
      </c>
      <c r="D19" s="7">
        <v>13</v>
      </c>
      <c r="E19" s="7"/>
      <c r="F19" s="7"/>
      <c r="G19" s="7"/>
      <c r="H19" s="7"/>
      <c r="I19" s="7"/>
      <c r="J19" s="7"/>
      <c r="K19" s="7"/>
      <c r="L19" s="7"/>
      <c r="M19" s="7"/>
      <c r="N19" s="12" t="s">
        <v>69</v>
      </c>
      <c r="O19" s="12" t="s">
        <v>129</v>
      </c>
      <c r="P19" s="8">
        <f t="shared" si="1"/>
        <v>13</v>
      </c>
      <c r="Q19" s="7">
        <v>20</v>
      </c>
      <c r="R19" s="7"/>
      <c r="S19" s="7"/>
      <c r="T19" s="7"/>
      <c r="U19" s="7"/>
      <c r="V19" s="7"/>
      <c r="W19" s="7"/>
      <c r="X19" s="7"/>
      <c r="Y19" s="7"/>
      <c r="Z19" s="7"/>
      <c r="AF19">
        <v>13</v>
      </c>
      <c r="AG19" s="2">
        <v>0.5</v>
      </c>
      <c r="AH19">
        <v>15</v>
      </c>
      <c r="AI19" s="2">
        <f t="shared" si="0"/>
        <v>0.51041666666666696</v>
      </c>
    </row>
    <row r="20" spans="2:35" hidden="1" x14ac:dyDescent="0.35">
      <c r="B20" s="7" t="s">
        <v>11</v>
      </c>
      <c r="C20" s="7">
        <v>3</v>
      </c>
      <c r="D20" s="7">
        <v>14</v>
      </c>
      <c r="E20" s="7"/>
      <c r="F20" s="7"/>
      <c r="G20" s="7"/>
      <c r="H20" s="7"/>
      <c r="I20" s="7"/>
      <c r="J20" s="7"/>
      <c r="K20" s="7"/>
      <c r="L20" s="7"/>
      <c r="M20" s="7"/>
      <c r="N20" s="12" t="s">
        <v>190</v>
      </c>
      <c r="O20" s="12" t="s">
        <v>129</v>
      </c>
      <c r="P20" s="8">
        <f t="shared" si="1"/>
        <v>14</v>
      </c>
      <c r="Q20" s="7">
        <v>21</v>
      </c>
      <c r="R20" s="7"/>
      <c r="S20" s="7"/>
      <c r="T20" s="7"/>
      <c r="U20" s="7"/>
      <c r="V20" s="7"/>
      <c r="W20" s="7"/>
      <c r="X20" s="7"/>
      <c r="Y20" s="7"/>
      <c r="Z20" s="7"/>
      <c r="AF20">
        <v>14</v>
      </c>
      <c r="AG20" s="2">
        <v>0.51041666666666696</v>
      </c>
      <c r="AH20">
        <v>15</v>
      </c>
      <c r="AI20" s="2">
        <f t="shared" si="0"/>
        <v>0.52083333333333404</v>
      </c>
    </row>
    <row r="21" spans="2:35" hidden="1" x14ac:dyDescent="0.35">
      <c r="B21" s="7" t="s">
        <v>13</v>
      </c>
      <c r="C21" s="7">
        <v>4</v>
      </c>
      <c r="D21" s="7">
        <v>15</v>
      </c>
      <c r="E21" s="7"/>
      <c r="F21" s="7"/>
      <c r="G21" s="7"/>
      <c r="H21" s="7"/>
      <c r="I21" s="7"/>
      <c r="J21" s="7"/>
      <c r="K21" s="7"/>
      <c r="L21" s="7"/>
      <c r="M21" s="7"/>
      <c r="N21" s="12" t="s">
        <v>72</v>
      </c>
      <c r="O21" s="12" t="s">
        <v>129</v>
      </c>
      <c r="P21" s="8">
        <f t="shared" si="1"/>
        <v>15</v>
      </c>
      <c r="Q21" s="7">
        <v>22</v>
      </c>
      <c r="R21" s="7"/>
      <c r="S21" s="7"/>
      <c r="T21" s="7"/>
      <c r="U21" s="7"/>
      <c r="V21" s="7"/>
      <c r="W21" s="7"/>
      <c r="X21" s="7"/>
      <c r="Y21" s="7"/>
      <c r="Z21" s="7"/>
      <c r="AF21">
        <v>15</v>
      </c>
      <c r="AG21" s="2">
        <v>0.52083333333333404</v>
      </c>
      <c r="AH21">
        <v>15</v>
      </c>
      <c r="AI21" s="2">
        <f t="shared" si="0"/>
        <v>0.53125</v>
      </c>
    </row>
    <row r="22" spans="2:35" hidden="1" x14ac:dyDescent="0.35">
      <c r="B22" s="7" t="s">
        <v>150</v>
      </c>
      <c r="C22" s="7">
        <v>4</v>
      </c>
      <c r="D22" s="7">
        <v>16</v>
      </c>
      <c r="E22" s="7"/>
      <c r="F22" s="7"/>
      <c r="G22" s="7"/>
      <c r="H22" s="7"/>
      <c r="I22" s="7"/>
      <c r="J22" s="7"/>
      <c r="K22" s="7"/>
      <c r="L22" s="7"/>
      <c r="M22" s="7"/>
      <c r="N22" s="12" t="s">
        <v>71</v>
      </c>
      <c r="O22" s="12" t="s">
        <v>129</v>
      </c>
      <c r="P22" s="8">
        <f t="shared" si="1"/>
        <v>16</v>
      </c>
      <c r="Q22" s="7">
        <v>23</v>
      </c>
      <c r="R22" s="7"/>
      <c r="S22" s="7"/>
      <c r="T22" s="7"/>
      <c r="U22" s="7"/>
      <c r="V22" s="7"/>
      <c r="W22" s="7"/>
      <c r="X22" s="7"/>
      <c r="Y22" s="7"/>
      <c r="Z22" s="7"/>
      <c r="AF22">
        <v>16</v>
      </c>
      <c r="AG22" s="2">
        <v>0.53125</v>
      </c>
      <c r="AH22">
        <v>15</v>
      </c>
      <c r="AI22" s="2">
        <f t="shared" si="0"/>
        <v>0.54166666666666696</v>
      </c>
    </row>
    <row r="23" spans="2:35" hidden="1" x14ac:dyDescent="0.35">
      <c r="B23" s="7" t="s">
        <v>17</v>
      </c>
      <c r="C23" s="7">
        <v>5</v>
      </c>
      <c r="D23" s="7">
        <v>17</v>
      </c>
      <c r="E23" s="7"/>
      <c r="F23" s="7"/>
      <c r="G23" s="7"/>
      <c r="H23" s="7"/>
      <c r="I23" s="7"/>
      <c r="J23" s="7"/>
      <c r="K23" s="7"/>
      <c r="L23" s="7"/>
      <c r="M23" s="7"/>
      <c r="N23" s="12" t="s">
        <v>70</v>
      </c>
      <c r="O23" s="12" t="s">
        <v>129</v>
      </c>
      <c r="P23" s="8">
        <f t="shared" si="1"/>
        <v>17</v>
      </c>
      <c r="Q23" s="7">
        <v>24</v>
      </c>
      <c r="R23" s="7"/>
      <c r="S23" s="7"/>
      <c r="T23" s="7"/>
      <c r="U23" s="7"/>
      <c r="V23" s="7"/>
      <c r="W23" s="7"/>
      <c r="X23" s="7"/>
      <c r="Y23" s="7"/>
      <c r="Z23" s="7"/>
      <c r="AF23">
        <v>17</v>
      </c>
      <c r="AG23" s="2">
        <v>0.54166666666666696</v>
      </c>
      <c r="AH23">
        <v>20</v>
      </c>
      <c r="AI23" s="2">
        <f t="shared" si="0"/>
        <v>0.55555555555555558</v>
      </c>
    </row>
    <row r="24" spans="2:35" hidden="1" x14ac:dyDescent="0.35">
      <c r="B24" s="7" t="s">
        <v>16</v>
      </c>
      <c r="C24" s="7">
        <v>5</v>
      </c>
      <c r="D24" s="7">
        <v>18</v>
      </c>
      <c r="E24" s="7"/>
      <c r="F24" s="7"/>
      <c r="G24" s="7"/>
      <c r="H24" s="7"/>
      <c r="I24" s="7"/>
      <c r="J24" s="7"/>
      <c r="K24" s="7"/>
      <c r="L24" s="7"/>
      <c r="M24" s="7"/>
      <c r="N24" s="12" t="s">
        <v>82</v>
      </c>
      <c r="O24" s="12" t="s">
        <v>129</v>
      </c>
      <c r="P24" s="8">
        <f t="shared" si="1"/>
        <v>18</v>
      </c>
      <c r="Q24" s="7">
        <v>25</v>
      </c>
      <c r="R24" s="7"/>
      <c r="S24" s="7"/>
      <c r="T24" s="7"/>
      <c r="U24" s="7"/>
      <c r="V24" s="7"/>
      <c r="W24" s="7"/>
      <c r="X24" s="7"/>
      <c r="Y24" s="7"/>
      <c r="Z24" s="7"/>
      <c r="AF24">
        <v>18</v>
      </c>
      <c r="AG24" s="2">
        <v>0.55555555555555558</v>
      </c>
      <c r="AH24">
        <v>20</v>
      </c>
      <c r="AI24" s="2">
        <f t="shared" si="0"/>
        <v>0.56944444444444442</v>
      </c>
    </row>
    <row r="25" spans="2:35" hidden="1" x14ac:dyDescent="0.35">
      <c r="B25" s="7" t="s">
        <v>15</v>
      </c>
      <c r="C25" s="7">
        <v>5</v>
      </c>
      <c r="D25" s="7">
        <v>19</v>
      </c>
      <c r="E25" s="7"/>
      <c r="F25" s="7"/>
      <c r="G25" s="7"/>
      <c r="H25" s="7"/>
      <c r="I25" s="7"/>
      <c r="J25" s="7"/>
      <c r="K25" s="7"/>
      <c r="L25" s="7"/>
      <c r="M25" s="7"/>
      <c r="N25" s="12" t="s">
        <v>80</v>
      </c>
      <c r="O25" s="12" t="s">
        <v>129</v>
      </c>
      <c r="P25" s="8">
        <f t="shared" si="1"/>
        <v>19</v>
      </c>
      <c r="Q25" s="7">
        <v>26</v>
      </c>
      <c r="R25" s="7"/>
      <c r="S25" s="7"/>
      <c r="T25" s="7"/>
      <c r="U25" s="7"/>
      <c r="V25" s="7"/>
      <c r="W25" s="7"/>
      <c r="X25" s="7"/>
      <c r="Y25" s="7"/>
      <c r="Z25" s="7"/>
      <c r="AF25">
        <v>19</v>
      </c>
      <c r="AG25" s="2">
        <v>0.56944444444444442</v>
      </c>
      <c r="AH25">
        <v>20</v>
      </c>
      <c r="AI25" s="2">
        <f t="shared" si="0"/>
        <v>0.58333333333333337</v>
      </c>
    </row>
    <row r="26" spans="2:35" hidden="1" x14ac:dyDescent="0.35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12" t="s">
        <v>81</v>
      </c>
      <c r="O26" s="12" t="s">
        <v>129</v>
      </c>
      <c r="P26" s="8">
        <f t="shared" si="1"/>
        <v>20</v>
      </c>
      <c r="Q26" s="7">
        <v>27</v>
      </c>
      <c r="R26" s="7"/>
      <c r="S26" s="7"/>
      <c r="T26" s="7"/>
      <c r="U26" s="7"/>
      <c r="V26" s="7"/>
      <c r="W26" s="7"/>
      <c r="X26" s="7"/>
      <c r="Y26" s="7"/>
      <c r="Z26" s="7"/>
      <c r="AF26">
        <v>20</v>
      </c>
      <c r="AG26" s="2">
        <v>0.58333333333333337</v>
      </c>
      <c r="AH26">
        <v>20</v>
      </c>
      <c r="AI26" s="2">
        <f t="shared" si="0"/>
        <v>0.59722222222222221</v>
      </c>
    </row>
    <row r="27" spans="2:35" hidden="1" x14ac:dyDescent="0.3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12" t="s">
        <v>100</v>
      </c>
      <c r="O27" s="12" t="s">
        <v>130</v>
      </c>
      <c r="P27" s="8">
        <f t="shared" si="1"/>
        <v>21</v>
      </c>
      <c r="Q27" s="7">
        <v>29</v>
      </c>
      <c r="R27" s="7"/>
      <c r="S27" s="7"/>
      <c r="T27" s="7"/>
      <c r="U27" s="7"/>
      <c r="V27" s="7"/>
      <c r="W27" s="7"/>
      <c r="X27" s="7"/>
      <c r="Y27" s="7"/>
      <c r="Z27" s="7"/>
      <c r="AF27">
        <v>21</v>
      </c>
      <c r="AG27" s="2">
        <v>0.59722222222222221</v>
      </c>
      <c r="AH27">
        <v>20</v>
      </c>
      <c r="AI27" s="2">
        <f t="shared" si="0"/>
        <v>0.61111111111111105</v>
      </c>
    </row>
    <row r="28" spans="2:35" hidden="1" x14ac:dyDescent="0.3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12" t="s">
        <v>99</v>
      </c>
      <c r="O28" s="12" t="s">
        <v>130</v>
      </c>
      <c r="P28" s="8">
        <f>P27+1</f>
        <v>22</v>
      </c>
      <c r="Q28" s="7">
        <v>30</v>
      </c>
      <c r="R28" s="7"/>
      <c r="S28" s="7"/>
      <c r="T28" s="7"/>
      <c r="U28" s="7"/>
      <c r="V28" s="7"/>
      <c r="W28" s="7"/>
      <c r="X28" s="7"/>
      <c r="Y28" s="7"/>
      <c r="Z28" s="7"/>
      <c r="AF28">
        <v>22</v>
      </c>
      <c r="AG28" s="2">
        <v>0.61111111111111105</v>
      </c>
      <c r="AH28">
        <v>20</v>
      </c>
      <c r="AI28" s="2">
        <f t="shared" si="0"/>
        <v>0.625</v>
      </c>
    </row>
    <row r="29" spans="2:35" hidden="1" x14ac:dyDescent="0.35"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12" t="s">
        <v>125</v>
      </c>
      <c r="O29" s="12" t="s">
        <v>130</v>
      </c>
      <c r="P29" s="8">
        <f t="shared" si="1"/>
        <v>23</v>
      </c>
      <c r="Q29" s="7">
        <v>31</v>
      </c>
      <c r="R29" s="7"/>
      <c r="S29" s="7"/>
      <c r="T29" s="7"/>
      <c r="U29" s="7"/>
      <c r="V29" s="7"/>
      <c r="W29" s="7"/>
      <c r="X29" s="7"/>
      <c r="Y29" s="7"/>
      <c r="Z29" s="7"/>
      <c r="AF29">
        <v>23</v>
      </c>
      <c r="AG29" s="2">
        <v>0.625</v>
      </c>
      <c r="AH29">
        <v>20</v>
      </c>
      <c r="AI29" s="2">
        <f t="shared" si="0"/>
        <v>0.63888888888888895</v>
      </c>
    </row>
    <row r="30" spans="2:35" hidden="1" x14ac:dyDescent="0.35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12" t="s">
        <v>161</v>
      </c>
      <c r="O30" s="12" t="s">
        <v>129</v>
      </c>
      <c r="P30" s="8">
        <f>P29+1</f>
        <v>24</v>
      </c>
      <c r="Q30" s="7">
        <v>32</v>
      </c>
      <c r="R30" s="7"/>
      <c r="S30" s="7"/>
      <c r="T30" s="7"/>
      <c r="U30" s="7"/>
      <c r="V30" s="7"/>
      <c r="W30" s="7"/>
      <c r="X30" s="7"/>
      <c r="Y30" s="7"/>
      <c r="Z30" s="7"/>
      <c r="AF30">
        <v>24</v>
      </c>
      <c r="AG30" s="2">
        <v>0.63888888888888895</v>
      </c>
      <c r="AH30">
        <v>20</v>
      </c>
      <c r="AI30" s="2">
        <f t="shared" si="0"/>
        <v>0.65277777777777779</v>
      </c>
    </row>
    <row r="31" spans="2:35" hidden="1" x14ac:dyDescent="0.35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F31">
        <v>25</v>
      </c>
      <c r="AG31" s="2">
        <v>0.65277777777777779</v>
      </c>
      <c r="AH31">
        <v>20</v>
      </c>
      <c r="AI31" s="2">
        <f t="shared" si="0"/>
        <v>0.66666666666666663</v>
      </c>
    </row>
    <row r="32" spans="2:35" hidden="1" x14ac:dyDescent="0.3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11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F32">
        <v>26</v>
      </c>
      <c r="AG32" s="2">
        <v>0.66666666666666663</v>
      </c>
      <c r="AH32">
        <v>20</v>
      </c>
      <c r="AI32" s="2">
        <v>0.68055555555555547</v>
      </c>
    </row>
    <row r="33" spans="2:26" hidden="1" x14ac:dyDescent="0.3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2:26" hidden="1" x14ac:dyDescent="0.35">
      <c r="B34" s="7"/>
      <c r="C34" s="7"/>
      <c r="D34" s="7"/>
      <c r="E34" s="7"/>
      <c r="F34" s="7"/>
      <c r="G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2:26" hidden="1" x14ac:dyDescent="0.35">
      <c r="B35" s="7"/>
      <c r="C35" s="7"/>
      <c r="D35" s="7"/>
      <c r="E35" s="7"/>
      <c r="F35" s="7"/>
      <c r="G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2:26" hidden="1" x14ac:dyDescent="0.35">
      <c r="B36" s="7"/>
      <c r="C36" s="7"/>
      <c r="D36" s="7"/>
      <c r="E36" s="7"/>
      <c r="F36" s="7"/>
      <c r="G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2:26" hidden="1" x14ac:dyDescent="0.35">
      <c r="B37" s="7"/>
      <c r="C37" s="7"/>
      <c r="D37" s="7"/>
      <c r="E37" s="7"/>
      <c r="F37" s="7"/>
      <c r="G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2:26" hidden="1" x14ac:dyDescent="0.35">
      <c r="B38" s="7"/>
      <c r="C38" s="7"/>
      <c r="D38" s="7"/>
      <c r="E38" s="7"/>
      <c r="F38" s="7"/>
      <c r="G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1" t="s">
        <v>20</v>
      </c>
      <c r="W38" s="1" t="s">
        <v>18</v>
      </c>
      <c r="X38" s="1" t="s">
        <v>19</v>
      </c>
      <c r="Y38" s="7"/>
      <c r="Z38" s="7"/>
    </row>
    <row r="39" spans="2:26" hidden="1" x14ac:dyDescent="0.35">
      <c r="B39" s="7"/>
      <c r="C39" s="7"/>
      <c r="D39" s="7"/>
      <c r="E39" s="7"/>
      <c r="F39" s="7"/>
      <c r="G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>
        <v>1</v>
      </c>
      <c r="W39" t="s">
        <v>21</v>
      </c>
      <c r="X39" t="s">
        <v>31</v>
      </c>
      <c r="Y39" s="7"/>
      <c r="Z39" s="7"/>
    </row>
    <row r="40" spans="2:26" hidden="1" x14ac:dyDescent="0.35">
      <c r="B40" s="7"/>
      <c r="C40" s="7"/>
      <c r="D40" s="7"/>
      <c r="E40" s="7"/>
      <c r="F40" s="7"/>
      <c r="G40" s="7"/>
      <c r="H40" t="s">
        <v>49</v>
      </c>
      <c r="I40" t="s">
        <v>18</v>
      </c>
      <c r="J40" t="s">
        <v>50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>
        <f>V39+1</f>
        <v>2</v>
      </c>
      <c r="W40" t="s">
        <v>22</v>
      </c>
      <c r="X40" t="s">
        <v>32</v>
      </c>
      <c r="Y40" s="7"/>
      <c r="Z40" s="7"/>
    </row>
    <row r="41" spans="2:26" hidden="1" x14ac:dyDescent="0.35">
      <c r="H41">
        <v>1</v>
      </c>
      <c r="I41" t="s">
        <v>0</v>
      </c>
      <c r="J41" t="s">
        <v>55</v>
      </c>
      <c r="V41">
        <f t="shared" ref="V41:V51" si="2">V40+1</f>
        <v>3</v>
      </c>
      <c r="W41" t="s">
        <v>23</v>
      </c>
      <c r="X41" t="s">
        <v>33</v>
      </c>
    </row>
    <row r="42" spans="2:26" hidden="1" x14ac:dyDescent="0.35">
      <c r="H42">
        <v>2</v>
      </c>
      <c r="I42" t="s">
        <v>5</v>
      </c>
      <c r="J42" t="s">
        <v>54</v>
      </c>
      <c r="V42">
        <f t="shared" si="2"/>
        <v>4</v>
      </c>
      <c r="W42" t="s">
        <v>24</v>
      </c>
      <c r="X42" t="s">
        <v>34</v>
      </c>
    </row>
    <row r="43" spans="2:26" hidden="1" x14ac:dyDescent="0.35">
      <c r="H43">
        <v>3</v>
      </c>
      <c r="I43" t="s">
        <v>7</v>
      </c>
      <c r="J43" t="s">
        <v>53</v>
      </c>
      <c r="V43">
        <f t="shared" si="2"/>
        <v>5</v>
      </c>
      <c r="W43" t="s">
        <v>25</v>
      </c>
      <c r="X43" t="s">
        <v>35</v>
      </c>
    </row>
    <row r="44" spans="2:26" hidden="1" x14ac:dyDescent="0.35">
      <c r="H44">
        <v>4</v>
      </c>
      <c r="I44" t="s">
        <v>12</v>
      </c>
      <c r="J44" t="s">
        <v>52</v>
      </c>
      <c r="V44">
        <f t="shared" si="2"/>
        <v>6</v>
      </c>
      <c r="W44" t="s">
        <v>26</v>
      </c>
      <c r="X44" t="s">
        <v>36</v>
      </c>
    </row>
    <row r="45" spans="2:26" hidden="1" x14ac:dyDescent="0.35">
      <c r="H45">
        <v>5</v>
      </c>
      <c r="I45" t="s">
        <v>14</v>
      </c>
      <c r="J45" t="s">
        <v>51</v>
      </c>
      <c r="V45">
        <f t="shared" si="2"/>
        <v>7</v>
      </c>
      <c r="W45" t="s">
        <v>27</v>
      </c>
      <c r="X45" t="s">
        <v>37</v>
      </c>
    </row>
    <row r="46" spans="2:26" hidden="1" x14ac:dyDescent="0.35">
      <c r="H46">
        <v>6</v>
      </c>
      <c r="I46" t="s">
        <v>95</v>
      </c>
      <c r="J46" t="s">
        <v>96</v>
      </c>
      <c r="V46">
        <f t="shared" si="2"/>
        <v>8</v>
      </c>
      <c r="W46" t="s">
        <v>85</v>
      </c>
      <c r="X46" t="s">
        <v>86</v>
      </c>
    </row>
    <row r="47" spans="2:26" hidden="1" x14ac:dyDescent="0.35">
      <c r="V47">
        <f t="shared" si="2"/>
        <v>9</v>
      </c>
      <c r="W47" t="s">
        <v>28</v>
      </c>
      <c r="X47" t="s">
        <v>38</v>
      </c>
    </row>
    <row r="48" spans="2:26" hidden="1" x14ac:dyDescent="0.35">
      <c r="V48">
        <f t="shared" si="2"/>
        <v>10</v>
      </c>
      <c r="W48" t="s">
        <v>29</v>
      </c>
      <c r="X48" t="s">
        <v>39</v>
      </c>
    </row>
    <row r="49" spans="3:31" hidden="1" x14ac:dyDescent="0.35">
      <c r="V49">
        <f t="shared" si="2"/>
        <v>11</v>
      </c>
      <c r="W49" t="s">
        <v>30</v>
      </c>
      <c r="X49" t="s">
        <v>40</v>
      </c>
    </row>
    <row r="50" spans="3:31" hidden="1" x14ac:dyDescent="0.35">
      <c r="V50">
        <f t="shared" si="2"/>
        <v>12</v>
      </c>
      <c r="W50" t="s">
        <v>41</v>
      </c>
      <c r="X50" t="s">
        <v>42</v>
      </c>
    </row>
    <row r="51" spans="3:31" hidden="1" x14ac:dyDescent="0.35">
      <c r="V51">
        <f t="shared" si="2"/>
        <v>13</v>
      </c>
      <c r="W51" t="s">
        <v>43</v>
      </c>
      <c r="X51" t="s">
        <v>44</v>
      </c>
    </row>
    <row r="52" spans="3:31" hidden="1" x14ac:dyDescent="0.35"/>
    <row r="53" spans="3:31" hidden="1" x14ac:dyDescent="0.35"/>
    <row r="54" spans="3:31" hidden="1" x14ac:dyDescent="0.35"/>
    <row r="55" spans="3:31" hidden="1" x14ac:dyDescent="0.35">
      <c r="E55" t="s">
        <v>102</v>
      </c>
    </row>
    <row r="56" spans="3:31" hidden="1" x14ac:dyDescent="0.35"/>
    <row r="57" spans="3:31" hidden="1" x14ac:dyDescent="0.35">
      <c r="C57" s="1" t="s">
        <v>57</v>
      </c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</row>
    <row r="58" spans="3:31" hidden="1" x14ac:dyDescent="0.35">
      <c r="E58" s="10">
        <v>0.375</v>
      </c>
      <c r="F58" s="10">
        <v>0.38541666666666669</v>
      </c>
      <c r="G58" s="10">
        <v>0.39583333333333298</v>
      </c>
      <c r="H58" s="10">
        <v>0.40625</v>
      </c>
      <c r="I58" s="10">
        <v>0.41666666666666702</v>
      </c>
      <c r="J58" s="10">
        <v>0.4236111111111111</v>
      </c>
      <c r="K58" s="10">
        <v>0.43055555555555558</v>
      </c>
      <c r="L58" s="10">
        <v>0.4375</v>
      </c>
      <c r="M58" s="10">
        <v>0.44444444444444442</v>
      </c>
      <c r="N58" s="10">
        <v>0.45833333333333331</v>
      </c>
      <c r="O58" s="10">
        <v>0.47222222222222227</v>
      </c>
      <c r="P58" s="10">
        <v>0.4861111111111111</v>
      </c>
      <c r="Q58" s="10">
        <v>0.5</v>
      </c>
      <c r="R58" s="10">
        <v>0.51041666666666663</v>
      </c>
      <c r="S58" s="10">
        <v>0.52083333333333337</v>
      </c>
      <c r="T58" s="10">
        <v>0.53125</v>
      </c>
      <c r="U58" s="10">
        <v>0.54166666666666663</v>
      </c>
      <c r="V58" s="10">
        <v>0.55555555555555558</v>
      </c>
      <c r="W58" s="10">
        <v>0.56944444444444442</v>
      </c>
      <c r="X58" s="10">
        <v>0.58333333333333337</v>
      </c>
      <c r="Y58" s="10">
        <v>0.59722222222222221</v>
      </c>
      <c r="Z58" s="10">
        <v>0.61111111111111105</v>
      </c>
      <c r="AA58" s="10">
        <v>0.625</v>
      </c>
      <c r="AB58" s="10">
        <v>0.63888888888888895</v>
      </c>
    </row>
    <row r="59" spans="3:31" hidden="1" x14ac:dyDescent="0.35">
      <c r="C59" s="4"/>
      <c r="D59" s="4" t="s">
        <v>48</v>
      </c>
      <c r="E59" s="4">
        <v>1</v>
      </c>
      <c r="F59" s="4">
        <f>E59+1</f>
        <v>2</v>
      </c>
      <c r="G59" s="4">
        <f t="shared" ref="G59:AD59" si="3">F59+1</f>
        <v>3</v>
      </c>
      <c r="H59" s="4">
        <f t="shared" si="3"/>
        <v>4</v>
      </c>
      <c r="I59" s="4">
        <f t="shared" si="3"/>
        <v>5</v>
      </c>
      <c r="J59" s="4">
        <f t="shared" si="3"/>
        <v>6</v>
      </c>
      <c r="K59" s="4">
        <f t="shared" si="3"/>
        <v>7</v>
      </c>
      <c r="L59" s="4">
        <f t="shared" si="3"/>
        <v>8</v>
      </c>
      <c r="M59" s="4">
        <f t="shared" si="3"/>
        <v>9</v>
      </c>
      <c r="N59" s="4">
        <f t="shared" si="3"/>
        <v>10</v>
      </c>
      <c r="O59" s="4">
        <f t="shared" si="3"/>
        <v>11</v>
      </c>
      <c r="P59" s="4">
        <f t="shared" si="3"/>
        <v>12</v>
      </c>
      <c r="Q59" s="4">
        <f t="shared" si="3"/>
        <v>13</v>
      </c>
      <c r="R59" s="4">
        <f t="shared" si="3"/>
        <v>14</v>
      </c>
      <c r="S59" s="4">
        <f t="shared" si="3"/>
        <v>15</v>
      </c>
      <c r="T59" s="4">
        <f t="shared" si="3"/>
        <v>16</v>
      </c>
      <c r="U59" s="4">
        <f t="shared" si="3"/>
        <v>17</v>
      </c>
      <c r="V59" s="4">
        <f t="shared" si="3"/>
        <v>18</v>
      </c>
      <c r="W59" s="4">
        <f t="shared" si="3"/>
        <v>19</v>
      </c>
      <c r="X59" s="4">
        <f>W59+1</f>
        <v>20</v>
      </c>
      <c r="Y59" s="4">
        <f t="shared" si="3"/>
        <v>21</v>
      </c>
      <c r="Z59" s="4">
        <f t="shared" si="3"/>
        <v>22</v>
      </c>
      <c r="AA59" s="4">
        <f t="shared" si="3"/>
        <v>23</v>
      </c>
      <c r="AB59" s="4">
        <f t="shared" si="3"/>
        <v>24</v>
      </c>
      <c r="AC59" s="4">
        <f>AB59+1</f>
        <v>25</v>
      </c>
      <c r="AD59" s="4">
        <f t="shared" si="3"/>
        <v>26</v>
      </c>
      <c r="AE59" s="4"/>
    </row>
    <row r="60" spans="3:31" hidden="1" x14ac:dyDescent="0.35">
      <c r="D60" s="5" t="s">
        <v>148</v>
      </c>
      <c r="E60" s="3">
        <v>2</v>
      </c>
      <c r="F60" s="3">
        <v>2</v>
      </c>
      <c r="G60" s="3">
        <v>4</v>
      </c>
      <c r="H60" s="3">
        <v>4</v>
      </c>
      <c r="I60" s="3">
        <v>6</v>
      </c>
      <c r="J60" s="3">
        <v>6</v>
      </c>
      <c r="K60" s="3">
        <v>10</v>
      </c>
      <c r="L60" s="3">
        <v>10</v>
      </c>
      <c r="M60" s="3">
        <v>10</v>
      </c>
      <c r="N60" s="3">
        <v>28</v>
      </c>
      <c r="O60" s="3">
        <v>28</v>
      </c>
      <c r="P60" s="3">
        <v>28</v>
      </c>
      <c r="Q60" s="3">
        <v>7</v>
      </c>
      <c r="R60" s="3">
        <v>7</v>
      </c>
      <c r="S60" s="3">
        <v>8</v>
      </c>
      <c r="T60" s="3">
        <v>8</v>
      </c>
      <c r="U60" s="3">
        <v>17</v>
      </c>
      <c r="V60" s="3">
        <v>17</v>
      </c>
      <c r="W60" s="3">
        <v>17</v>
      </c>
      <c r="X60" s="3">
        <v>17</v>
      </c>
      <c r="Y60" s="3">
        <v>17</v>
      </c>
      <c r="Z60" s="3">
        <v>17</v>
      </c>
      <c r="AA60" s="3">
        <v>17</v>
      </c>
      <c r="AB60" s="3"/>
      <c r="AC60" s="3"/>
    </row>
    <row r="61" spans="3:31" hidden="1" x14ac:dyDescent="0.35">
      <c r="D61" s="5" t="s">
        <v>2</v>
      </c>
      <c r="E61" s="3">
        <v>2</v>
      </c>
      <c r="F61" s="3">
        <v>2</v>
      </c>
      <c r="G61" s="3">
        <v>5</v>
      </c>
      <c r="H61" s="3">
        <v>5</v>
      </c>
      <c r="I61" s="3">
        <v>6</v>
      </c>
      <c r="J61" s="3">
        <v>6</v>
      </c>
      <c r="K61" s="3">
        <v>10</v>
      </c>
      <c r="L61" s="3">
        <v>10</v>
      </c>
      <c r="M61" s="3">
        <v>10</v>
      </c>
      <c r="N61" s="3">
        <v>28</v>
      </c>
      <c r="O61" s="3">
        <v>28</v>
      </c>
      <c r="P61" s="3">
        <v>28</v>
      </c>
      <c r="Q61" s="3">
        <v>7</v>
      </c>
      <c r="R61" s="3">
        <v>7</v>
      </c>
      <c r="S61" s="3">
        <v>8</v>
      </c>
      <c r="T61" s="3">
        <v>8</v>
      </c>
      <c r="U61" s="3">
        <v>17</v>
      </c>
      <c r="V61" s="3">
        <v>17</v>
      </c>
      <c r="W61" s="3">
        <v>17</v>
      </c>
      <c r="X61" s="3">
        <v>17</v>
      </c>
      <c r="Y61" s="3">
        <v>17</v>
      </c>
      <c r="Z61" s="3">
        <v>17</v>
      </c>
      <c r="AA61" s="3">
        <v>17</v>
      </c>
      <c r="AB61" s="3"/>
      <c r="AC61" s="3"/>
    </row>
    <row r="62" spans="3:31" hidden="1" x14ac:dyDescent="0.35">
      <c r="D62" s="5" t="s">
        <v>146</v>
      </c>
      <c r="E62" s="3">
        <v>2</v>
      </c>
      <c r="F62" s="3">
        <v>2</v>
      </c>
      <c r="G62" s="3">
        <v>4</v>
      </c>
      <c r="H62" s="3">
        <v>4</v>
      </c>
      <c r="I62" s="3">
        <v>6</v>
      </c>
      <c r="J62" s="3">
        <v>6</v>
      </c>
      <c r="K62" s="3">
        <v>10</v>
      </c>
      <c r="L62" s="3">
        <v>10</v>
      </c>
      <c r="M62" s="3">
        <v>10</v>
      </c>
      <c r="N62" s="3">
        <v>28</v>
      </c>
      <c r="O62" s="3">
        <v>28</v>
      </c>
      <c r="P62" s="3">
        <v>28</v>
      </c>
      <c r="Q62" s="3">
        <v>7</v>
      </c>
      <c r="R62" s="3">
        <v>7</v>
      </c>
      <c r="S62" s="3">
        <v>8</v>
      </c>
      <c r="T62" s="3">
        <v>8</v>
      </c>
      <c r="U62" s="3">
        <v>17</v>
      </c>
      <c r="V62" s="3">
        <v>17</v>
      </c>
      <c r="W62" s="3">
        <v>17</v>
      </c>
      <c r="X62" s="3">
        <v>17</v>
      </c>
      <c r="Y62" s="3">
        <v>17</v>
      </c>
      <c r="Z62" s="3">
        <v>17</v>
      </c>
      <c r="AA62" s="3">
        <v>17</v>
      </c>
      <c r="AB62" s="3"/>
      <c r="AC62" s="3"/>
    </row>
    <row r="63" spans="3:31" hidden="1" x14ac:dyDescent="0.35">
      <c r="D63" s="5" t="s">
        <v>150</v>
      </c>
      <c r="E63" s="3">
        <v>2</v>
      </c>
      <c r="F63" s="3">
        <v>2</v>
      </c>
      <c r="G63" s="3">
        <v>4</v>
      </c>
      <c r="H63" s="3">
        <v>4</v>
      </c>
      <c r="I63" s="3">
        <v>6</v>
      </c>
      <c r="J63" s="3">
        <v>6</v>
      </c>
      <c r="K63" s="3">
        <v>10</v>
      </c>
      <c r="L63" s="3">
        <v>10</v>
      </c>
      <c r="M63" s="3">
        <v>10</v>
      </c>
      <c r="N63" s="3">
        <v>28</v>
      </c>
      <c r="O63" s="3">
        <v>28</v>
      </c>
      <c r="P63" s="3">
        <v>28</v>
      </c>
      <c r="Q63" s="3">
        <v>7</v>
      </c>
      <c r="R63" s="3">
        <v>7</v>
      </c>
      <c r="S63" s="3">
        <v>8</v>
      </c>
      <c r="T63" s="3">
        <v>8</v>
      </c>
      <c r="U63" s="3">
        <v>17</v>
      </c>
      <c r="V63" s="3">
        <v>17</v>
      </c>
      <c r="W63" s="3">
        <v>17</v>
      </c>
      <c r="X63" s="3">
        <v>17</v>
      </c>
      <c r="Y63" s="3">
        <v>17</v>
      </c>
      <c r="Z63" s="3">
        <v>17</v>
      </c>
      <c r="AA63" s="3">
        <v>17</v>
      </c>
      <c r="AB63" s="3"/>
      <c r="AC63" s="3"/>
    </row>
    <row r="64" spans="3:31" hidden="1" x14ac:dyDescent="0.35">
      <c r="D64" s="5" t="s">
        <v>3</v>
      </c>
      <c r="E64" s="3">
        <v>1</v>
      </c>
      <c r="F64" s="3">
        <v>1</v>
      </c>
      <c r="G64" s="3">
        <v>4</v>
      </c>
      <c r="H64" s="3">
        <v>4</v>
      </c>
      <c r="I64" s="3">
        <v>6</v>
      </c>
      <c r="J64" s="3">
        <v>6</v>
      </c>
      <c r="K64" s="3">
        <v>9</v>
      </c>
      <c r="L64" s="3">
        <v>9</v>
      </c>
      <c r="M64" s="3">
        <v>9</v>
      </c>
      <c r="N64" s="3">
        <v>9</v>
      </c>
      <c r="O64" s="3">
        <v>9</v>
      </c>
      <c r="P64" s="3">
        <v>9</v>
      </c>
      <c r="Q64" s="3">
        <v>7</v>
      </c>
      <c r="R64" s="3">
        <v>7</v>
      </c>
      <c r="S64" s="3">
        <v>8</v>
      </c>
      <c r="T64" s="3">
        <v>8</v>
      </c>
      <c r="U64" s="3">
        <v>16</v>
      </c>
      <c r="V64" s="3">
        <v>16</v>
      </c>
      <c r="W64" s="3">
        <v>16</v>
      </c>
      <c r="X64" s="3">
        <v>16</v>
      </c>
      <c r="Y64" s="3">
        <v>16</v>
      </c>
      <c r="Z64" s="3">
        <v>16</v>
      </c>
      <c r="AA64" s="3">
        <v>16</v>
      </c>
      <c r="AB64" s="3"/>
      <c r="AC64" s="3"/>
    </row>
    <row r="65" spans="4:31" hidden="1" x14ac:dyDescent="0.35">
      <c r="D65" s="5" t="s">
        <v>4</v>
      </c>
      <c r="E65" s="3">
        <v>1</v>
      </c>
      <c r="F65" s="3">
        <v>1</v>
      </c>
      <c r="G65" s="3">
        <v>5</v>
      </c>
      <c r="H65" s="3">
        <v>5</v>
      </c>
      <c r="I65" s="3">
        <v>6</v>
      </c>
      <c r="J65" s="3">
        <v>6</v>
      </c>
      <c r="K65" s="3">
        <v>9</v>
      </c>
      <c r="L65" s="3">
        <v>9</v>
      </c>
      <c r="M65" s="3">
        <v>9</v>
      </c>
      <c r="N65" s="3">
        <v>9</v>
      </c>
      <c r="O65" s="3">
        <v>9</v>
      </c>
      <c r="P65" s="3">
        <v>9</v>
      </c>
      <c r="Q65" s="3">
        <v>7</v>
      </c>
      <c r="R65" s="3">
        <v>7</v>
      </c>
      <c r="S65" s="3">
        <v>8</v>
      </c>
      <c r="T65" s="3">
        <v>8</v>
      </c>
      <c r="U65" s="3">
        <v>16</v>
      </c>
      <c r="V65" s="3">
        <v>16</v>
      </c>
      <c r="W65" s="3">
        <v>16</v>
      </c>
      <c r="X65" s="3">
        <v>16</v>
      </c>
      <c r="Y65" s="3">
        <v>16</v>
      </c>
      <c r="Z65" s="3">
        <v>16</v>
      </c>
      <c r="AA65" s="3">
        <v>16</v>
      </c>
      <c r="AB65" s="3"/>
      <c r="AC65" s="3"/>
    </row>
    <row r="66" spans="4:31" hidden="1" x14ac:dyDescent="0.35">
      <c r="D66" s="5" t="s">
        <v>1</v>
      </c>
      <c r="E66" s="3">
        <v>1</v>
      </c>
      <c r="F66" s="3">
        <v>1</v>
      </c>
      <c r="G66" s="3">
        <v>5</v>
      </c>
      <c r="H66" s="3">
        <v>5</v>
      </c>
      <c r="I66" s="3">
        <v>6</v>
      </c>
      <c r="J66" s="3">
        <v>6</v>
      </c>
      <c r="K66" s="3">
        <v>9</v>
      </c>
      <c r="L66" s="3">
        <v>9</v>
      </c>
      <c r="M66" s="3">
        <v>9</v>
      </c>
      <c r="N66" s="3">
        <v>9</v>
      </c>
      <c r="O66" s="3">
        <v>9</v>
      </c>
      <c r="P66" s="3">
        <v>9</v>
      </c>
      <c r="Q66" s="3">
        <v>7</v>
      </c>
      <c r="R66" s="3">
        <v>7</v>
      </c>
      <c r="S66" s="3">
        <v>8</v>
      </c>
      <c r="T66" s="3">
        <v>8</v>
      </c>
      <c r="U66" s="3">
        <v>16</v>
      </c>
      <c r="V66" s="3">
        <v>16</v>
      </c>
      <c r="W66" s="3">
        <v>16</v>
      </c>
      <c r="X66" s="3">
        <v>16</v>
      </c>
      <c r="Y66" s="3">
        <v>16</v>
      </c>
      <c r="Z66" s="3">
        <v>16</v>
      </c>
      <c r="AA66" s="3">
        <v>16</v>
      </c>
      <c r="AB66" s="3"/>
      <c r="AC66" s="3"/>
    </row>
    <row r="67" spans="4:31" hidden="1" x14ac:dyDescent="0.35">
      <c r="D67" s="5" t="s">
        <v>147</v>
      </c>
      <c r="E67" s="3">
        <v>1</v>
      </c>
      <c r="F67" s="3">
        <v>1</v>
      </c>
      <c r="G67" s="3">
        <v>5</v>
      </c>
      <c r="H67" s="3">
        <v>5</v>
      </c>
      <c r="I67" s="3">
        <v>6</v>
      </c>
      <c r="J67" s="3">
        <v>6</v>
      </c>
      <c r="K67" s="3">
        <v>9</v>
      </c>
      <c r="L67" s="3">
        <v>9</v>
      </c>
      <c r="M67" s="3">
        <v>9</v>
      </c>
      <c r="N67" s="3">
        <v>9</v>
      </c>
      <c r="O67" s="3">
        <v>9</v>
      </c>
      <c r="P67" s="3">
        <v>9</v>
      </c>
      <c r="Q67" s="3">
        <v>7</v>
      </c>
      <c r="R67" s="3">
        <v>7</v>
      </c>
      <c r="S67" s="3">
        <v>8</v>
      </c>
      <c r="T67" s="3">
        <v>8</v>
      </c>
      <c r="U67" s="3">
        <v>16</v>
      </c>
      <c r="V67" s="3">
        <v>16</v>
      </c>
      <c r="W67" s="3">
        <v>16</v>
      </c>
      <c r="X67" s="3">
        <v>16</v>
      </c>
      <c r="Y67" s="3">
        <v>16</v>
      </c>
      <c r="Z67" s="3">
        <v>16</v>
      </c>
      <c r="AA67" s="3">
        <v>16</v>
      </c>
      <c r="AB67" s="3"/>
      <c r="AC67" s="3"/>
    </row>
    <row r="68" spans="4:31" hidden="1" x14ac:dyDescent="0.35">
      <c r="D68" s="5" t="s">
        <v>10</v>
      </c>
      <c r="E68" s="3">
        <v>3</v>
      </c>
      <c r="F68" s="3">
        <v>3</v>
      </c>
      <c r="G68" s="3">
        <v>5</v>
      </c>
      <c r="H68" s="3">
        <v>5</v>
      </c>
      <c r="I68" s="3">
        <v>6</v>
      </c>
      <c r="J68" s="3">
        <v>6</v>
      </c>
      <c r="K68" s="3">
        <v>11</v>
      </c>
      <c r="L68" s="3">
        <v>11</v>
      </c>
      <c r="M68" s="3">
        <v>11</v>
      </c>
      <c r="N68" s="3">
        <v>11</v>
      </c>
      <c r="O68" s="3">
        <v>11</v>
      </c>
      <c r="P68" s="3">
        <v>11</v>
      </c>
      <c r="Q68" s="3">
        <v>7</v>
      </c>
      <c r="R68" s="3">
        <v>7</v>
      </c>
      <c r="S68" s="3">
        <v>8</v>
      </c>
      <c r="T68" s="3">
        <v>8</v>
      </c>
      <c r="U68" s="3">
        <v>18</v>
      </c>
      <c r="V68" s="3">
        <v>18</v>
      </c>
      <c r="W68" s="3">
        <v>26</v>
      </c>
      <c r="X68" s="3">
        <v>26</v>
      </c>
      <c r="Y68" s="3">
        <v>26</v>
      </c>
      <c r="Z68" s="3">
        <v>26</v>
      </c>
      <c r="AA68" s="3">
        <v>26</v>
      </c>
      <c r="AB68" s="3"/>
      <c r="AC68" s="3"/>
    </row>
    <row r="69" spans="4:31" hidden="1" x14ac:dyDescent="0.35">
      <c r="D69" s="5" t="s">
        <v>157</v>
      </c>
      <c r="E69" s="3">
        <v>3</v>
      </c>
      <c r="F69" s="3">
        <v>3</v>
      </c>
      <c r="G69" s="3">
        <v>4</v>
      </c>
      <c r="H69" s="3">
        <v>4</v>
      </c>
      <c r="I69" s="3">
        <v>6</v>
      </c>
      <c r="J69" s="3">
        <v>6</v>
      </c>
      <c r="K69" s="3">
        <v>11</v>
      </c>
      <c r="L69" s="3">
        <v>11</v>
      </c>
      <c r="M69" s="3">
        <v>11</v>
      </c>
      <c r="N69" s="3">
        <v>11</v>
      </c>
      <c r="O69" s="3">
        <v>11</v>
      </c>
      <c r="P69" s="3">
        <v>11</v>
      </c>
      <c r="Q69" s="3">
        <v>7</v>
      </c>
      <c r="R69" s="3">
        <v>7</v>
      </c>
      <c r="S69" s="3">
        <v>25</v>
      </c>
      <c r="T69" s="3">
        <v>25</v>
      </c>
      <c r="U69" s="3">
        <v>25</v>
      </c>
      <c r="V69" s="3">
        <v>25</v>
      </c>
      <c r="W69" s="3">
        <v>25</v>
      </c>
      <c r="X69" s="3">
        <v>25</v>
      </c>
      <c r="Y69" s="3">
        <v>25</v>
      </c>
      <c r="Z69" s="3">
        <v>25</v>
      </c>
      <c r="AA69" s="3">
        <v>25</v>
      </c>
      <c r="AB69" s="3"/>
      <c r="AC69" s="3"/>
    </row>
    <row r="70" spans="4:31" hidden="1" x14ac:dyDescent="0.35">
      <c r="D70" s="5" t="s">
        <v>6</v>
      </c>
      <c r="E70" s="3">
        <v>3</v>
      </c>
      <c r="F70" s="3">
        <v>3</v>
      </c>
      <c r="G70" s="3">
        <v>14</v>
      </c>
      <c r="H70" s="3">
        <v>14</v>
      </c>
      <c r="I70" s="3">
        <v>14</v>
      </c>
      <c r="J70" s="3">
        <v>14</v>
      </c>
      <c r="K70" s="3">
        <v>14</v>
      </c>
      <c r="L70" s="3">
        <v>14</v>
      </c>
      <c r="M70" s="3">
        <v>14</v>
      </c>
      <c r="N70" s="3">
        <v>14</v>
      </c>
      <c r="O70" s="3">
        <v>14</v>
      </c>
      <c r="P70" s="3">
        <v>14</v>
      </c>
      <c r="Q70" s="3">
        <v>7</v>
      </c>
      <c r="R70" s="3">
        <v>7</v>
      </c>
      <c r="S70" s="3">
        <v>8</v>
      </c>
      <c r="T70" s="3">
        <v>8</v>
      </c>
      <c r="U70" s="3">
        <v>18</v>
      </c>
      <c r="V70" s="3">
        <v>18</v>
      </c>
      <c r="W70" s="3">
        <v>19</v>
      </c>
      <c r="X70" s="3">
        <v>19</v>
      </c>
      <c r="Y70" s="3">
        <v>19</v>
      </c>
      <c r="Z70" s="3">
        <v>19</v>
      </c>
      <c r="AA70" s="3">
        <v>19</v>
      </c>
      <c r="AB70" s="3"/>
      <c r="AC70" s="3"/>
    </row>
    <row r="71" spans="4:31" hidden="1" x14ac:dyDescent="0.35">
      <c r="D71" s="5" t="s">
        <v>8</v>
      </c>
      <c r="E71" s="3">
        <v>3</v>
      </c>
      <c r="F71" s="3">
        <v>3</v>
      </c>
      <c r="G71" s="3">
        <v>4</v>
      </c>
      <c r="H71" s="3">
        <v>4</v>
      </c>
      <c r="I71" s="3">
        <v>6</v>
      </c>
      <c r="J71" s="3">
        <v>6</v>
      </c>
      <c r="K71" s="3">
        <v>11</v>
      </c>
      <c r="L71" s="3">
        <v>11</v>
      </c>
      <c r="M71" s="3">
        <v>11</v>
      </c>
      <c r="N71" s="3">
        <v>11</v>
      </c>
      <c r="O71" s="3">
        <v>11</v>
      </c>
      <c r="P71" s="3">
        <v>11</v>
      </c>
      <c r="Q71" s="3">
        <v>7</v>
      </c>
      <c r="R71" s="3">
        <v>7</v>
      </c>
      <c r="S71" s="3">
        <v>8</v>
      </c>
      <c r="T71" s="3">
        <v>8</v>
      </c>
      <c r="U71" s="3">
        <v>27</v>
      </c>
      <c r="V71" s="3">
        <v>27</v>
      </c>
      <c r="W71" s="3">
        <v>27</v>
      </c>
      <c r="X71" s="3">
        <v>27</v>
      </c>
      <c r="Y71" s="3">
        <v>27</v>
      </c>
      <c r="Z71" s="3">
        <v>27</v>
      </c>
      <c r="AA71" s="3">
        <v>27</v>
      </c>
      <c r="AB71" s="3"/>
      <c r="AC71" s="3"/>
    </row>
    <row r="72" spans="4:31" hidden="1" x14ac:dyDescent="0.35">
      <c r="D72" s="5" t="s">
        <v>11</v>
      </c>
      <c r="E72" s="3">
        <v>3</v>
      </c>
      <c r="F72" s="3">
        <v>3</v>
      </c>
      <c r="G72" s="3">
        <v>4</v>
      </c>
      <c r="H72" s="3">
        <v>4</v>
      </c>
      <c r="I72" s="3">
        <v>6</v>
      </c>
      <c r="J72" s="3">
        <v>6</v>
      </c>
      <c r="K72" s="3">
        <v>11</v>
      </c>
      <c r="L72" s="3">
        <v>11</v>
      </c>
      <c r="M72" s="3">
        <v>11</v>
      </c>
      <c r="N72" s="3">
        <v>11</v>
      </c>
      <c r="O72" s="3">
        <v>11</v>
      </c>
      <c r="P72" s="3">
        <v>11</v>
      </c>
      <c r="Q72" s="3">
        <v>7</v>
      </c>
      <c r="R72" s="3">
        <v>7</v>
      </c>
      <c r="S72" s="3">
        <v>24</v>
      </c>
      <c r="T72" s="3">
        <v>24</v>
      </c>
      <c r="U72" s="3">
        <v>24</v>
      </c>
      <c r="V72" s="3">
        <v>24</v>
      </c>
      <c r="W72" s="3">
        <v>24</v>
      </c>
      <c r="X72" s="3">
        <v>24</v>
      </c>
      <c r="Y72" s="3">
        <v>24</v>
      </c>
      <c r="Z72" s="3">
        <v>24</v>
      </c>
      <c r="AA72" s="3">
        <v>24</v>
      </c>
      <c r="AB72" s="3"/>
      <c r="AC72" s="3"/>
    </row>
    <row r="73" spans="4:31" hidden="1" x14ac:dyDescent="0.35">
      <c r="D73" s="5" t="s">
        <v>9</v>
      </c>
      <c r="E73" s="3">
        <v>3</v>
      </c>
      <c r="F73" s="3">
        <v>3</v>
      </c>
      <c r="G73" s="3">
        <v>5</v>
      </c>
      <c r="H73" s="3">
        <v>5</v>
      </c>
      <c r="I73" s="3">
        <v>6</v>
      </c>
      <c r="J73" s="3">
        <v>6</v>
      </c>
      <c r="K73" s="3">
        <v>11</v>
      </c>
      <c r="L73" s="3">
        <v>11</v>
      </c>
      <c r="M73" s="3">
        <v>11</v>
      </c>
      <c r="N73" s="3">
        <v>11</v>
      </c>
      <c r="O73" s="3">
        <v>11</v>
      </c>
      <c r="P73" s="3">
        <v>11</v>
      </c>
      <c r="Q73" s="3">
        <v>7</v>
      </c>
      <c r="R73" s="3">
        <v>7</v>
      </c>
      <c r="S73" s="3">
        <v>8</v>
      </c>
      <c r="T73" s="3">
        <v>8</v>
      </c>
      <c r="U73" s="3">
        <v>18</v>
      </c>
      <c r="V73" s="3">
        <v>18</v>
      </c>
      <c r="W73" s="3">
        <v>19</v>
      </c>
      <c r="X73" s="3">
        <v>19</v>
      </c>
      <c r="Y73" s="3">
        <v>19</v>
      </c>
      <c r="Z73" s="3">
        <v>19</v>
      </c>
      <c r="AA73" s="3">
        <v>19</v>
      </c>
      <c r="AB73" s="3"/>
      <c r="AC73" s="3"/>
    </row>
    <row r="74" spans="4:31" hidden="1" x14ac:dyDescent="0.35">
      <c r="D74" s="5" t="s">
        <v>13</v>
      </c>
      <c r="E74" s="3"/>
      <c r="F74" s="3"/>
      <c r="G74" s="3">
        <v>12</v>
      </c>
      <c r="H74" s="3">
        <v>12</v>
      </c>
      <c r="I74" s="3">
        <v>12</v>
      </c>
      <c r="J74" s="3">
        <v>12</v>
      </c>
      <c r="K74" s="3">
        <v>12</v>
      </c>
      <c r="L74" s="3">
        <v>12</v>
      </c>
      <c r="M74" s="3">
        <v>12</v>
      </c>
      <c r="N74" s="3">
        <v>12</v>
      </c>
      <c r="O74" s="3">
        <v>12</v>
      </c>
      <c r="P74" s="3">
        <v>12</v>
      </c>
      <c r="Q74" s="3">
        <v>21</v>
      </c>
      <c r="R74" s="3">
        <v>21</v>
      </c>
      <c r="S74" s="3">
        <v>21</v>
      </c>
      <c r="T74" s="3">
        <v>21</v>
      </c>
      <c r="U74" s="3">
        <v>20</v>
      </c>
      <c r="V74" s="3">
        <v>20</v>
      </c>
      <c r="W74" s="3">
        <v>22</v>
      </c>
      <c r="X74" s="3">
        <v>22</v>
      </c>
      <c r="Y74" s="3">
        <v>22</v>
      </c>
      <c r="Z74" s="3"/>
      <c r="AA74" s="3"/>
      <c r="AB74" s="3"/>
      <c r="AC74" s="3"/>
    </row>
    <row r="75" spans="4:31" hidden="1" x14ac:dyDescent="0.35">
      <c r="D75" s="5" t="s">
        <v>105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4:31" hidden="1" x14ac:dyDescent="0.35">
      <c r="D76" s="5" t="s">
        <v>17</v>
      </c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4:31" hidden="1" x14ac:dyDescent="0.35">
      <c r="D77" s="5" t="s">
        <v>16</v>
      </c>
      <c r="E77" s="3">
        <v>15</v>
      </c>
      <c r="F77" s="3">
        <v>15</v>
      </c>
      <c r="G77" s="3">
        <v>15</v>
      </c>
      <c r="H77" s="3">
        <v>15</v>
      </c>
      <c r="I77" s="3">
        <v>15</v>
      </c>
      <c r="J77" s="3">
        <v>15</v>
      </c>
      <c r="K77" s="3">
        <v>15</v>
      </c>
      <c r="L77" s="3">
        <v>15</v>
      </c>
      <c r="M77" s="3">
        <v>15</v>
      </c>
      <c r="N77" s="3">
        <v>15</v>
      </c>
      <c r="O77" s="3">
        <v>15</v>
      </c>
      <c r="P77" s="3">
        <v>15</v>
      </c>
      <c r="Q77" s="3">
        <v>15</v>
      </c>
      <c r="R77" s="3">
        <v>15</v>
      </c>
      <c r="S77" s="3">
        <v>15</v>
      </c>
      <c r="T77" s="3">
        <v>15</v>
      </c>
      <c r="U77" s="3">
        <v>15</v>
      </c>
      <c r="V77" s="3">
        <v>15</v>
      </c>
      <c r="W77" s="3">
        <v>15</v>
      </c>
      <c r="X77" s="3">
        <v>15</v>
      </c>
      <c r="Y77" s="3"/>
      <c r="Z77" s="3"/>
      <c r="AA77" s="3"/>
      <c r="AB77" s="3"/>
      <c r="AC77" s="3"/>
    </row>
    <row r="78" spans="4:31" hidden="1" x14ac:dyDescent="0.35">
      <c r="D78" s="5" t="s">
        <v>15</v>
      </c>
      <c r="E78" s="3">
        <v>13</v>
      </c>
      <c r="F78" s="3">
        <v>13</v>
      </c>
      <c r="G78" s="3">
        <v>13</v>
      </c>
      <c r="H78" s="3">
        <v>13</v>
      </c>
      <c r="I78" s="3">
        <v>13</v>
      </c>
      <c r="J78" s="3">
        <v>13</v>
      </c>
      <c r="K78" s="3">
        <v>13</v>
      </c>
      <c r="L78" s="3">
        <v>13</v>
      </c>
      <c r="M78" s="3">
        <v>13</v>
      </c>
      <c r="N78" s="3">
        <v>13</v>
      </c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4:31" hidden="1" x14ac:dyDescent="0.35">
      <c r="D79" s="5" t="s">
        <v>149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>
        <v>23</v>
      </c>
      <c r="V79" s="3">
        <v>23</v>
      </c>
      <c r="W79" s="3">
        <v>23</v>
      </c>
      <c r="X79" s="3">
        <v>23</v>
      </c>
      <c r="Y79" s="3">
        <v>23</v>
      </c>
      <c r="Z79" s="3">
        <v>23</v>
      </c>
      <c r="AA79" s="3">
        <v>23</v>
      </c>
      <c r="AB79" s="3"/>
      <c r="AC79" s="3"/>
    </row>
    <row r="80" spans="4:31" hidden="1" x14ac:dyDescent="0.35">
      <c r="D80" s="5" t="s">
        <v>158</v>
      </c>
      <c r="E80" s="3">
        <v>3</v>
      </c>
      <c r="F80" s="3">
        <v>3</v>
      </c>
      <c r="G80" s="3">
        <v>5</v>
      </c>
      <c r="H80" s="3">
        <v>5</v>
      </c>
      <c r="I80" s="3">
        <v>6</v>
      </c>
      <c r="J80" s="3">
        <v>6</v>
      </c>
      <c r="K80" s="3">
        <v>11</v>
      </c>
      <c r="L80" s="3">
        <v>11</v>
      </c>
      <c r="M80" s="3">
        <v>11</v>
      </c>
      <c r="N80" s="3">
        <v>11</v>
      </c>
      <c r="O80" s="3">
        <v>11</v>
      </c>
      <c r="P80" s="3">
        <v>11</v>
      </c>
      <c r="Q80" s="3">
        <v>7</v>
      </c>
      <c r="R80" s="3">
        <v>7</v>
      </c>
      <c r="S80" s="3">
        <v>8</v>
      </c>
      <c r="T80" s="3">
        <v>8</v>
      </c>
      <c r="U80" s="3">
        <v>18</v>
      </c>
      <c r="V80" s="3">
        <v>18</v>
      </c>
      <c r="W80" s="3">
        <v>19</v>
      </c>
      <c r="X80" s="3">
        <v>19</v>
      </c>
      <c r="Y80" s="3">
        <v>19</v>
      </c>
      <c r="Z80" s="3">
        <v>19</v>
      </c>
      <c r="AA80" s="3">
        <v>19</v>
      </c>
      <c r="AB80" s="3"/>
      <c r="AC80" s="3"/>
    </row>
    <row r="81" spans="2:19" hidden="1" x14ac:dyDescent="0.35"/>
    <row r="82" spans="2:19" hidden="1" x14ac:dyDescent="0.35"/>
    <row r="83" spans="2:19" hidden="1" x14ac:dyDescent="0.35"/>
    <row r="84" spans="2:19" hidden="1" x14ac:dyDescent="0.35"/>
    <row r="85" spans="2:19" hidden="1" x14ac:dyDescent="0.35"/>
    <row r="86" spans="2:19" hidden="1" x14ac:dyDescent="0.35"/>
    <row r="87" spans="2:19" hidden="1" x14ac:dyDescent="0.35"/>
    <row r="88" spans="2:19" hidden="1" x14ac:dyDescent="0.35"/>
    <row r="89" spans="2:19" hidden="1" x14ac:dyDescent="0.35"/>
    <row r="90" spans="2:19" hidden="1" x14ac:dyDescent="0.35"/>
    <row r="91" spans="2:19" hidden="1" x14ac:dyDescent="0.35"/>
    <row r="92" spans="2:19" hidden="1" x14ac:dyDescent="0.35">
      <c r="C92" s="1" t="s">
        <v>94</v>
      </c>
      <c r="D92" s="1" t="s">
        <v>61</v>
      </c>
      <c r="E92" s="1" t="s">
        <v>87</v>
      </c>
      <c r="F92" s="1" t="s">
        <v>62</v>
      </c>
      <c r="G92" s="1" t="s">
        <v>63</v>
      </c>
      <c r="H92" s="1" t="s">
        <v>84</v>
      </c>
      <c r="I92" s="1" t="s">
        <v>64</v>
      </c>
      <c r="J92" s="1" t="s">
        <v>65</v>
      </c>
      <c r="K92" s="1" t="s">
        <v>66</v>
      </c>
      <c r="L92" s="1" t="s">
        <v>67</v>
      </c>
      <c r="M92" s="1" t="s">
        <v>88</v>
      </c>
      <c r="N92" s="1" t="s">
        <v>89</v>
      </c>
      <c r="O92" s="1" t="s">
        <v>68</v>
      </c>
      <c r="P92" s="4" t="s">
        <v>91</v>
      </c>
      <c r="Q92" t="s">
        <v>49</v>
      </c>
      <c r="R92" s="1" t="s">
        <v>108</v>
      </c>
      <c r="S92" s="1" t="s">
        <v>90</v>
      </c>
    </row>
    <row r="93" spans="2:19" ht="43.5" hidden="1" x14ac:dyDescent="0.35">
      <c r="B93">
        <v>1</v>
      </c>
      <c r="C93" s="3">
        <v>1</v>
      </c>
      <c r="D93" s="3">
        <v>1</v>
      </c>
      <c r="E93" s="3"/>
      <c r="F93" s="3"/>
      <c r="G93" s="3"/>
      <c r="I93" s="3" t="s">
        <v>69</v>
      </c>
      <c r="J93" s="3" t="s">
        <v>81</v>
      </c>
      <c r="K93" s="3" t="s">
        <v>71</v>
      </c>
      <c r="L93" s="3"/>
      <c r="M93" t="s">
        <v>163</v>
      </c>
      <c r="N93" s="3" t="s">
        <v>159</v>
      </c>
      <c r="O93" s="6" t="s">
        <v>160</v>
      </c>
      <c r="P93" s="3" t="s">
        <v>103</v>
      </c>
      <c r="Q93" s="3" t="s">
        <v>55</v>
      </c>
      <c r="R93" s="3">
        <v>0</v>
      </c>
    </row>
    <row r="94" spans="2:19" ht="43.5" hidden="1" x14ac:dyDescent="0.35">
      <c r="B94">
        <v>2</v>
      </c>
      <c r="C94" s="3">
        <v>2</v>
      </c>
      <c r="D94" s="3">
        <v>2</v>
      </c>
      <c r="E94" s="3"/>
      <c r="F94" s="3"/>
      <c r="G94" s="3"/>
      <c r="I94" s="3" t="s">
        <v>72</v>
      </c>
      <c r="J94" s="3" t="s">
        <v>161</v>
      </c>
      <c r="K94" s="3"/>
      <c r="L94" s="3"/>
      <c r="M94" t="s">
        <v>162</v>
      </c>
      <c r="N94" t="s">
        <v>159</v>
      </c>
      <c r="O94" s="6" t="s">
        <v>164</v>
      </c>
      <c r="P94" s="3" t="s">
        <v>103</v>
      </c>
      <c r="Q94" s="3" t="s">
        <v>54</v>
      </c>
      <c r="R94" s="3">
        <v>0</v>
      </c>
    </row>
    <row r="95" spans="2:19" ht="43.5" hidden="1" x14ac:dyDescent="0.35">
      <c r="B95">
        <v>3</v>
      </c>
      <c r="C95" s="3">
        <v>3</v>
      </c>
      <c r="D95" s="3">
        <v>3</v>
      </c>
      <c r="E95" s="3"/>
      <c r="F95" s="3"/>
      <c r="G95" s="3"/>
      <c r="I95" s="3" t="s">
        <v>70</v>
      </c>
      <c r="J95" s="3" t="s">
        <v>190</v>
      </c>
      <c r="K95" s="3"/>
      <c r="L95" s="3"/>
      <c r="M95" t="s">
        <v>165</v>
      </c>
      <c r="N95" t="s">
        <v>159</v>
      </c>
      <c r="O95" s="6" t="s">
        <v>166</v>
      </c>
      <c r="P95" s="3" t="s">
        <v>103</v>
      </c>
      <c r="Q95" s="3" t="s">
        <v>53</v>
      </c>
      <c r="R95" s="3">
        <v>0</v>
      </c>
    </row>
    <row r="96" spans="2:19" ht="58" hidden="1" x14ac:dyDescent="0.35">
      <c r="B96">
        <v>4</v>
      </c>
      <c r="C96" s="3">
        <v>4</v>
      </c>
      <c r="D96" s="3">
        <v>1</v>
      </c>
      <c r="E96" s="3" t="s">
        <v>83</v>
      </c>
      <c r="F96" s="3"/>
      <c r="G96" s="3"/>
      <c r="I96" s="3" t="s">
        <v>161</v>
      </c>
      <c r="J96" s="3" t="s">
        <v>69</v>
      </c>
      <c r="K96" s="3" t="s">
        <v>99</v>
      </c>
      <c r="L96" s="3" t="s">
        <v>71</v>
      </c>
      <c r="M96" t="s">
        <v>92</v>
      </c>
      <c r="N96" t="s">
        <v>106</v>
      </c>
      <c r="O96" s="6" t="s">
        <v>97</v>
      </c>
      <c r="P96" s="3" t="s">
        <v>103</v>
      </c>
      <c r="Q96" s="3" t="s">
        <v>96</v>
      </c>
      <c r="R96" s="3">
        <v>0</v>
      </c>
    </row>
    <row r="97" spans="2:18" ht="58" hidden="1" x14ac:dyDescent="0.35">
      <c r="B97">
        <v>5</v>
      </c>
      <c r="C97" s="3">
        <v>5</v>
      </c>
      <c r="D97" s="3">
        <v>3</v>
      </c>
      <c r="E97" s="3" t="s">
        <v>118</v>
      </c>
      <c r="F97" s="3"/>
      <c r="G97" s="3"/>
      <c r="I97" s="3" t="s">
        <v>72</v>
      </c>
      <c r="J97" s="3" t="s">
        <v>81</v>
      </c>
      <c r="K97" s="3" t="s">
        <v>190</v>
      </c>
      <c r="L97" s="3" t="s">
        <v>70</v>
      </c>
      <c r="M97" t="s">
        <v>93</v>
      </c>
      <c r="N97" t="s">
        <v>107</v>
      </c>
      <c r="O97" s="6" t="s">
        <v>98</v>
      </c>
      <c r="P97" s="3" t="s">
        <v>101</v>
      </c>
      <c r="Q97" s="3" t="s">
        <v>96</v>
      </c>
      <c r="R97" s="3">
        <v>1</v>
      </c>
    </row>
    <row r="98" spans="2:18" hidden="1" x14ac:dyDescent="0.35">
      <c r="B98">
        <v>6</v>
      </c>
      <c r="C98" s="3">
        <v>6</v>
      </c>
      <c r="D98" s="3">
        <v>9</v>
      </c>
      <c r="E98" s="3" t="s">
        <v>83</v>
      </c>
      <c r="F98" s="3" t="s">
        <v>118</v>
      </c>
      <c r="G98" s="3"/>
      <c r="I98" s="3"/>
      <c r="J98" s="3"/>
      <c r="K98" s="3"/>
      <c r="L98" s="3"/>
      <c r="M98" t="s">
        <v>167</v>
      </c>
      <c r="N98" t="s">
        <v>78</v>
      </c>
      <c r="O98" s="6" t="s">
        <v>78</v>
      </c>
      <c r="P98" s="3" t="s">
        <v>103</v>
      </c>
      <c r="Q98" s="3" t="s">
        <v>96</v>
      </c>
      <c r="R98" s="3">
        <v>0</v>
      </c>
    </row>
    <row r="99" spans="2:18" hidden="1" x14ac:dyDescent="0.35">
      <c r="B99">
        <v>7</v>
      </c>
      <c r="C99" s="3">
        <v>7</v>
      </c>
      <c r="D99" s="3">
        <v>9</v>
      </c>
      <c r="E99" s="3" t="s">
        <v>75</v>
      </c>
      <c r="F99" s="3" t="s">
        <v>79</v>
      </c>
      <c r="G99" s="3"/>
      <c r="I99" s="3" t="s">
        <v>72</v>
      </c>
      <c r="J99" s="3" t="s">
        <v>69</v>
      </c>
      <c r="K99" s="3" t="s">
        <v>82</v>
      </c>
      <c r="L99" s="3"/>
      <c r="M99" t="s">
        <v>168</v>
      </c>
      <c r="N99" t="s">
        <v>112</v>
      </c>
      <c r="O99" s="6" t="s">
        <v>112</v>
      </c>
      <c r="P99" s="3" t="s">
        <v>103</v>
      </c>
      <c r="Q99" s="3" t="s">
        <v>96</v>
      </c>
      <c r="R99" s="3">
        <v>0</v>
      </c>
    </row>
    <row r="100" spans="2:18" ht="29.15" hidden="1" x14ac:dyDescent="0.35">
      <c r="B100">
        <v>8</v>
      </c>
      <c r="C100" s="3">
        <v>8</v>
      </c>
      <c r="D100" s="3">
        <v>10</v>
      </c>
      <c r="E100" s="3" t="s">
        <v>73</v>
      </c>
      <c r="F100" s="3" t="s">
        <v>83</v>
      </c>
      <c r="G100" s="3" t="s">
        <v>77</v>
      </c>
      <c r="I100" s="3" t="s">
        <v>161</v>
      </c>
      <c r="J100" s="3" t="s">
        <v>71</v>
      </c>
      <c r="K100" s="3"/>
      <c r="L100" s="3"/>
      <c r="M100" t="s">
        <v>40</v>
      </c>
      <c r="N100" t="s">
        <v>169</v>
      </c>
      <c r="O100" s="6" t="s">
        <v>169</v>
      </c>
      <c r="P100" s="3" t="s">
        <v>103</v>
      </c>
      <c r="Q100" s="3" t="s">
        <v>96</v>
      </c>
      <c r="R100" s="3">
        <v>0</v>
      </c>
    </row>
    <row r="101" spans="2:18" hidden="1" x14ac:dyDescent="0.35">
      <c r="B101">
        <v>9</v>
      </c>
      <c r="C101" s="3">
        <v>9</v>
      </c>
      <c r="D101" s="3">
        <v>1</v>
      </c>
      <c r="E101" s="3" t="s">
        <v>75</v>
      </c>
      <c r="F101" s="3"/>
      <c r="I101" s="3" t="s">
        <v>69</v>
      </c>
      <c r="J101" s="3" t="s">
        <v>81</v>
      </c>
      <c r="K101" s="3" t="s">
        <v>71</v>
      </c>
      <c r="L101" s="3"/>
      <c r="M101" t="s">
        <v>55</v>
      </c>
      <c r="N101" t="s">
        <v>0</v>
      </c>
      <c r="O101" s="6" t="s">
        <v>0</v>
      </c>
      <c r="P101" s="3" t="s">
        <v>103</v>
      </c>
      <c r="Q101" s="3" t="s">
        <v>55</v>
      </c>
      <c r="R101" s="3">
        <v>0</v>
      </c>
    </row>
    <row r="102" spans="2:18" hidden="1" x14ac:dyDescent="0.35">
      <c r="B102">
        <v>10</v>
      </c>
      <c r="C102" s="3">
        <v>10</v>
      </c>
      <c r="D102" s="3">
        <v>2</v>
      </c>
      <c r="E102" s="3" t="s">
        <v>83</v>
      </c>
      <c r="F102" s="3" t="s">
        <v>218</v>
      </c>
      <c r="G102" s="3"/>
      <c r="I102" s="3" t="s">
        <v>72</v>
      </c>
      <c r="J102" s="3" t="s">
        <v>161</v>
      </c>
      <c r="K102" s="3"/>
      <c r="L102" s="3"/>
      <c r="M102" t="s">
        <v>54</v>
      </c>
      <c r="N102" t="s">
        <v>5</v>
      </c>
      <c r="O102" s="6" t="s">
        <v>5</v>
      </c>
      <c r="P102" s="3" t="s">
        <v>103</v>
      </c>
      <c r="Q102" s="3" t="s">
        <v>54</v>
      </c>
      <c r="R102" s="3">
        <v>0</v>
      </c>
    </row>
    <row r="103" spans="2:18" hidden="1" x14ac:dyDescent="0.35">
      <c r="B103">
        <v>11</v>
      </c>
      <c r="C103" s="3">
        <v>11</v>
      </c>
      <c r="D103" s="3">
        <v>3</v>
      </c>
      <c r="E103" s="3" t="s">
        <v>79</v>
      </c>
      <c r="F103" s="3" t="s">
        <v>77</v>
      </c>
      <c r="G103" s="3"/>
      <c r="I103" s="3" t="s">
        <v>70</v>
      </c>
      <c r="J103" s="3" t="s">
        <v>190</v>
      </c>
      <c r="K103" s="3"/>
      <c r="L103" s="3"/>
      <c r="M103" t="s">
        <v>53</v>
      </c>
      <c r="N103" t="s">
        <v>7</v>
      </c>
      <c r="O103" t="s">
        <v>7</v>
      </c>
      <c r="P103" s="3" t="s">
        <v>103</v>
      </c>
      <c r="Q103" s="3" t="s">
        <v>53</v>
      </c>
      <c r="R103" s="3">
        <v>0</v>
      </c>
    </row>
    <row r="104" spans="2:18" hidden="1" x14ac:dyDescent="0.35">
      <c r="B104">
        <v>12</v>
      </c>
      <c r="C104" s="3">
        <v>12</v>
      </c>
      <c r="D104" s="3">
        <v>6</v>
      </c>
      <c r="E104" s="3"/>
      <c r="F104" s="3"/>
      <c r="G104" s="3"/>
      <c r="I104" s="3" t="s">
        <v>100</v>
      </c>
      <c r="J104" s="3" t="s">
        <v>82</v>
      </c>
      <c r="K104" s="3"/>
      <c r="L104" s="3"/>
      <c r="M104" t="s">
        <v>172</v>
      </c>
      <c r="N104" t="s">
        <v>13</v>
      </c>
      <c r="O104" s="6" t="s">
        <v>13</v>
      </c>
      <c r="P104" s="3" t="s">
        <v>101</v>
      </c>
      <c r="Q104" s="3" t="s">
        <v>52</v>
      </c>
      <c r="R104" s="3">
        <v>1</v>
      </c>
    </row>
    <row r="105" spans="2:18" ht="29.15" hidden="1" x14ac:dyDescent="0.35">
      <c r="B105">
        <v>13</v>
      </c>
      <c r="C105" s="3">
        <v>13</v>
      </c>
      <c r="D105" s="3">
        <v>11</v>
      </c>
      <c r="E105" s="3" t="s">
        <v>73</v>
      </c>
      <c r="F105" s="3"/>
      <c r="G105" s="3"/>
      <c r="I105" s="3"/>
      <c r="J105" s="3"/>
      <c r="K105" s="3"/>
      <c r="L105" s="3"/>
      <c r="M105" t="s">
        <v>219</v>
      </c>
      <c r="N105" t="s">
        <v>220</v>
      </c>
      <c r="O105" s="6" t="s">
        <v>220</v>
      </c>
      <c r="P105" s="3" t="s">
        <v>101</v>
      </c>
      <c r="Q105" s="3" t="s">
        <v>52</v>
      </c>
      <c r="R105" s="3">
        <v>1</v>
      </c>
    </row>
    <row r="106" spans="2:18" hidden="1" x14ac:dyDescent="0.35">
      <c r="B106">
        <v>14</v>
      </c>
      <c r="C106" s="3">
        <v>14</v>
      </c>
      <c r="D106" s="3">
        <v>11</v>
      </c>
      <c r="E106" s="3"/>
      <c r="F106" s="3"/>
      <c r="G106" s="3"/>
      <c r="I106" s="3" t="s">
        <v>80</v>
      </c>
      <c r="J106" s="3"/>
      <c r="K106" s="3"/>
      <c r="L106" s="3"/>
      <c r="M106" t="s">
        <v>170</v>
      </c>
      <c r="N106" t="s">
        <v>221</v>
      </c>
      <c r="O106" s="6" t="s">
        <v>221</v>
      </c>
      <c r="P106" s="3" t="s">
        <v>101</v>
      </c>
      <c r="Q106" s="3" t="s">
        <v>53</v>
      </c>
      <c r="R106" s="3">
        <v>1</v>
      </c>
    </row>
    <row r="107" spans="2:18" hidden="1" x14ac:dyDescent="0.35">
      <c r="B107">
        <v>15</v>
      </c>
      <c r="C107" s="3">
        <v>15</v>
      </c>
      <c r="D107" s="3">
        <v>12</v>
      </c>
      <c r="E107" s="3" t="s">
        <v>116</v>
      </c>
      <c r="F107" s="3" t="s">
        <v>74</v>
      </c>
      <c r="G107" s="3"/>
      <c r="I107" s="3"/>
      <c r="J107" s="3"/>
      <c r="K107" s="3"/>
      <c r="L107" s="3"/>
      <c r="M107" t="s">
        <v>156</v>
      </c>
      <c r="N107" t="s">
        <v>16</v>
      </c>
      <c r="O107" s="6" t="s">
        <v>16</v>
      </c>
      <c r="P107" s="3" t="s">
        <v>101</v>
      </c>
      <c r="Q107" s="3" t="s">
        <v>52</v>
      </c>
      <c r="R107" s="3">
        <v>2</v>
      </c>
    </row>
    <row r="108" spans="2:18" hidden="1" x14ac:dyDescent="0.35">
      <c r="B108">
        <v>16</v>
      </c>
      <c r="C108" s="3">
        <v>16</v>
      </c>
      <c r="D108" s="3">
        <v>1</v>
      </c>
      <c r="E108" s="3" t="s">
        <v>117</v>
      </c>
      <c r="F108" s="3" t="s">
        <v>118</v>
      </c>
      <c r="I108" s="3" t="s">
        <v>69</v>
      </c>
      <c r="J108" s="3" t="s">
        <v>70</v>
      </c>
      <c r="K108" s="3"/>
      <c r="L108" s="3"/>
      <c r="M108" t="s">
        <v>55</v>
      </c>
      <c r="N108" t="s">
        <v>0</v>
      </c>
      <c r="O108" s="6" t="s">
        <v>0</v>
      </c>
      <c r="P108" s="3" t="s">
        <v>103</v>
      </c>
      <c r="Q108" s="3" t="s">
        <v>55</v>
      </c>
      <c r="R108" s="3">
        <v>0</v>
      </c>
    </row>
    <row r="109" spans="2:18" hidden="1" x14ac:dyDescent="0.35">
      <c r="B109">
        <v>17</v>
      </c>
      <c r="C109" s="3">
        <v>17</v>
      </c>
      <c r="D109" s="3">
        <v>2</v>
      </c>
      <c r="E109" s="3" t="s">
        <v>83</v>
      </c>
      <c r="F109" s="3"/>
      <c r="G109" s="3"/>
      <c r="I109" s="3" t="s">
        <v>72</v>
      </c>
      <c r="J109" s="3" t="s">
        <v>161</v>
      </c>
      <c r="K109" s="3"/>
      <c r="L109" s="3"/>
      <c r="M109" t="s">
        <v>54</v>
      </c>
      <c r="N109" t="s">
        <v>5</v>
      </c>
      <c r="O109" s="6" t="s">
        <v>5</v>
      </c>
      <c r="P109" s="3" t="s">
        <v>103</v>
      </c>
      <c r="Q109" s="3" t="s">
        <v>54</v>
      </c>
      <c r="R109" s="3">
        <v>0</v>
      </c>
    </row>
    <row r="110" spans="2:18" hidden="1" x14ac:dyDescent="0.35">
      <c r="B110">
        <v>18</v>
      </c>
      <c r="C110" s="3">
        <v>18</v>
      </c>
      <c r="D110" s="3">
        <v>3</v>
      </c>
      <c r="E110" s="3" t="s">
        <v>73</v>
      </c>
      <c r="F110" s="3"/>
      <c r="G110" s="3"/>
      <c r="I110" s="3" t="s">
        <v>80</v>
      </c>
      <c r="J110" s="3" t="s">
        <v>99</v>
      </c>
      <c r="K110" s="3"/>
      <c r="L110" s="3"/>
      <c r="M110" t="s">
        <v>53</v>
      </c>
      <c r="N110" s="3" t="s">
        <v>7</v>
      </c>
      <c r="O110" s="6" t="s">
        <v>7</v>
      </c>
      <c r="P110" s="3" t="s">
        <v>103</v>
      </c>
      <c r="Q110" s="3" t="s">
        <v>53</v>
      </c>
      <c r="R110" s="3">
        <v>0</v>
      </c>
    </row>
    <row r="111" spans="2:18" hidden="1" x14ac:dyDescent="0.35">
      <c r="B111">
        <v>19</v>
      </c>
      <c r="C111" s="3">
        <v>19</v>
      </c>
      <c r="D111" s="3">
        <v>3</v>
      </c>
      <c r="E111" s="3" t="s">
        <v>75</v>
      </c>
      <c r="F111" s="3"/>
      <c r="G111" s="3"/>
      <c r="I111" s="3" t="s">
        <v>80</v>
      </c>
      <c r="J111" s="3" t="s">
        <v>99</v>
      </c>
      <c r="K111" s="3"/>
      <c r="L111" s="3"/>
      <c r="M111" t="s">
        <v>53</v>
      </c>
      <c r="N111" s="3" t="s">
        <v>7</v>
      </c>
      <c r="O111" s="6" t="s">
        <v>7</v>
      </c>
      <c r="P111" s="3" t="s">
        <v>103</v>
      </c>
      <c r="Q111" s="3" t="s">
        <v>53</v>
      </c>
      <c r="R111" s="3">
        <v>0</v>
      </c>
    </row>
    <row r="112" spans="2:18" hidden="1" x14ac:dyDescent="0.35">
      <c r="B112">
        <v>20</v>
      </c>
      <c r="C112" s="3">
        <v>20</v>
      </c>
      <c r="D112" s="3">
        <v>7</v>
      </c>
      <c r="E112" s="3" t="s">
        <v>75</v>
      </c>
      <c r="F112" s="3"/>
      <c r="G112" s="3"/>
      <c r="I112" s="3" t="s">
        <v>100</v>
      </c>
      <c r="J112" s="3"/>
      <c r="K112" s="3"/>
      <c r="L112" s="3"/>
      <c r="M112" t="s">
        <v>172</v>
      </c>
      <c r="N112" t="s">
        <v>13</v>
      </c>
      <c r="O112" s="6" t="s">
        <v>13</v>
      </c>
      <c r="P112" s="3" t="s">
        <v>101</v>
      </c>
      <c r="Q112" s="3" t="s">
        <v>52</v>
      </c>
      <c r="R112" s="3">
        <v>1</v>
      </c>
    </row>
    <row r="113" spans="2:18" hidden="1" x14ac:dyDescent="0.35">
      <c r="B113">
        <v>21</v>
      </c>
      <c r="C113" s="3">
        <v>21</v>
      </c>
      <c r="D113" s="3">
        <v>7</v>
      </c>
      <c r="E113" s="3"/>
      <c r="F113" s="3"/>
      <c r="G113" s="3"/>
      <c r="I113" s="3" t="s">
        <v>100</v>
      </c>
      <c r="J113" s="3" t="s">
        <v>99</v>
      </c>
      <c r="K113" s="3"/>
      <c r="L113" s="3"/>
      <c r="M113" t="s">
        <v>172</v>
      </c>
      <c r="N113" s="3" t="s">
        <v>13</v>
      </c>
      <c r="O113" s="6" t="s">
        <v>13</v>
      </c>
      <c r="P113" s="3" t="s">
        <v>101</v>
      </c>
      <c r="Q113" s="3" t="s">
        <v>52</v>
      </c>
      <c r="R113" s="3">
        <v>1</v>
      </c>
    </row>
    <row r="114" spans="2:18" hidden="1" x14ac:dyDescent="0.35">
      <c r="B114">
        <v>22</v>
      </c>
      <c r="C114" s="3">
        <v>22</v>
      </c>
      <c r="D114" s="3">
        <v>7</v>
      </c>
      <c r="E114" s="3" t="s">
        <v>73</v>
      </c>
      <c r="F114" s="3"/>
      <c r="G114" s="3"/>
      <c r="I114" s="3" t="s">
        <v>100</v>
      </c>
      <c r="J114" s="3"/>
      <c r="K114" s="3"/>
      <c r="L114" s="3"/>
      <c r="M114" t="s">
        <v>172</v>
      </c>
      <c r="N114" s="3" t="s">
        <v>13</v>
      </c>
      <c r="O114" s="6" t="s">
        <v>13</v>
      </c>
      <c r="P114" s="3" t="s">
        <v>101</v>
      </c>
      <c r="Q114" s="3" t="s">
        <v>52</v>
      </c>
      <c r="R114" s="3">
        <v>1</v>
      </c>
    </row>
    <row r="115" spans="2:18" ht="29.15" hidden="1" x14ac:dyDescent="0.35">
      <c r="B115">
        <v>23</v>
      </c>
      <c r="C115" s="3">
        <v>23</v>
      </c>
      <c r="D115" s="3">
        <v>11</v>
      </c>
      <c r="E115" t="s">
        <v>77</v>
      </c>
      <c r="M115" t="s">
        <v>222</v>
      </c>
      <c r="N115" s="3" t="s">
        <v>171</v>
      </c>
      <c r="O115" s="6" t="s">
        <v>171</v>
      </c>
      <c r="P115" s="3" t="s">
        <v>101</v>
      </c>
      <c r="Q115" s="3" t="s">
        <v>52</v>
      </c>
      <c r="R115" s="3">
        <v>4</v>
      </c>
    </row>
    <row r="116" spans="2:18" ht="29.15" hidden="1" x14ac:dyDescent="0.35">
      <c r="B116">
        <v>24</v>
      </c>
      <c r="C116" s="3">
        <v>24</v>
      </c>
      <c r="D116" s="3">
        <v>11</v>
      </c>
      <c r="E116" s="3"/>
      <c r="F116" s="3"/>
      <c r="G116" s="3"/>
      <c r="I116" s="3" t="s">
        <v>71</v>
      </c>
      <c r="J116" s="3"/>
      <c r="K116" s="3"/>
      <c r="L116" s="3"/>
      <c r="M116" t="s">
        <v>170</v>
      </c>
      <c r="N116" t="s">
        <v>223</v>
      </c>
      <c r="O116" s="6" t="s">
        <v>224</v>
      </c>
      <c r="P116" s="3" t="s">
        <v>101</v>
      </c>
      <c r="Q116" s="3" t="s">
        <v>53</v>
      </c>
      <c r="R116" s="3">
        <v>2</v>
      </c>
    </row>
    <row r="117" spans="2:18" ht="29.15" hidden="1" x14ac:dyDescent="0.35">
      <c r="B117">
        <v>25</v>
      </c>
      <c r="C117" s="3">
        <v>25</v>
      </c>
      <c r="D117" s="3">
        <v>11</v>
      </c>
      <c r="I117" s="3" t="s">
        <v>71</v>
      </c>
      <c r="M117" t="s">
        <v>225</v>
      </c>
      <c r="N117" s="3" t="s">
        <v>223</v>
      </c>
      <c r="O117" s="6" t="s">
        <v>224</v>
      </c>
      <c r="P117" s="3" t="s">
        <v>101</v>
      </c>
      <c r="Q117" s="3" t="s">
        <v>53</v>
      </c>
      <c r="R117" s="3">
        <v>3</v>
      </c>
    </row>
    <row r="118" spans="2:18" ht="29.15" hidden="1" x14ac:dyDescent="0.35">
      <c r="B118">
        <v>26</v>
      </c>
      <c r="C118" s="3">
        <v>26</v>
      </c>
      <c r="D118" s="18">
        <v>11</v>
      </c>
      <c r="I118" s="3" t="s">
        <v>190</v>
      </c>
      <c r="M118" t="s">
        <v>226</v>
      </c>
      <c r="N118" s="3" t="s">
        <v>227</v>
      </c>
      <c r="O118" s="6" t="s">
        <v>227</v>
      </c>
      <c r="P118" s="3" t="s">
        <v>101</v>
      </c>
      <c r="Q118" s="3" t="s">
        <v>53</v>
      </c>
      <c r="R118" s="3">
        <v>4</v>
      </c>
    </row>
    <row r="119" spans="2:18" ht="29.15" hidden="1" x14ac:dyDescent="0.35">
      <c r="B119">
        <v>27</v>
      </c>
      <c r="C119" s="3">
        <v>27</v>
      </c>
      <c r="D119" s="18">
        <v>11</v>
      </c>
      <c r="I119" s="3" t="s">
        <v>82</v>
      </c>
      <c r="M119" t="s">
        <v>228</v>
      </c>
      <c r="N119" s="3" t="s">
        <v>229</v>
      </c>
      <c r="O119" s="6" t="s">
        <v>229</v>
      </c>
      <c r="P119" s="3" t="s">
        <v>101</v>
      </c>
      <c r="Q119" s="3" t="s">
        <v>53</v>
      </c>
      <c r="R119" s="3">
        <v>5</v>
      </c>
    </row>
    <row r="120" spans="2:18" hidden="1" x14ac:dyDescent="0.35">
      <c r="B120">
        <v>28</v>
      </c>
      <c r="C120" s="3">
        <v>28</v>
      </c>
      <c r="D120" s="18">
        <v>2</v>
      </c>
      <c r="E120" t="s">
        <v>83</v>
      </c>
      <c r="I120" s="3" t="s">
        <v>72</v>
      </c>
      <c r="J120" t="s">
        <v>161</v>
      </c>
      <c r="M120" t="s">
        <v>54</v>
      </c>
      <c r="N120" s="3" t="s">
        <v>5</v>
      </c>
      <c r="O120" s="6" t="s">
        <v>5</v>
      </c>
      <c r="P120" s="3" t="s">
        <v>103</v>
      </c>
      <c r="Q120" s="3" t="s">
        <v>54</v>
      </c>
      <c r="R120" s="3">
        <v>0</v>
      </c>
    </row>
    <row r="121" spans="2:18" hidden="1" x14ac:dyDescent="0.35"/>
    <row r="122" spans="2:18" hidden="1" x14ac:dyDescent="0.35"/>
    <row r="123" spans="2:18" hidden="1" x14ac:dyDescent="0.35"/>
    <row r="124" spans="2:18" hidden="1" x14ac:dyDescent="0.35"/>
    <row r="125" spans="2:18" hidden="1" x14ac:dyDescent="0.35"/>
    <row r="126" spans="2:18" hidden="1" x14ac:dyDescent="0.35"/>
    <row r="127" spans="2:18" hidden="1" x14ac:dyDescent="0.35"/>
    <row r="128" spans="2:18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  <row r="145" spans="33:159" hidden="1" x14ac:dyDescent="0.35"/>
    <row r="146" spans="33:159" hidden="1" x14ac:dyDescent="0.35"/>
    <row r="147" spans="33:159" hidden="1" x14ac:dyDescent="0.35"/>
    <row r="148" spans="33:159" hidden="1" x14ac:dyDescent="0.35"/>
    <row r="149" spans="33:159" hidden="1" x14ac:dyDescent="0.35"/>
    <row r="150" spans="33:159" hidden="1" x14ac:dyDescent="0.35"/>
    <row r="151" spans="33:159" hidden="1" x14ac:dyDescent="0.35"/>
    <row r="152" spans="33:159" hidden="1" x14ac:dyDescent="0.35"/>
    <row r="153" spans="33:159" hidden="1" x14ac:dyDescent="0.35"/>
    <row r="154" spans="33:159" hidden="1" x14ac:dyDescent="0.35"/>
    <row r="155" spans="33:159" hidden="1" x14ac:dyDescent="0.35">
      <c r="AG155" t="s">
        <v>57</v>
      </c>
      <c r="BP155" t="s">
        <v>58</v>
      </c>
      <c r="CV155" t="s">
        <v>59</v>
      </c>
      <c r="EA155" t="s">
        <v>60</v>
      </c>
    </row>
    <row r="156" spans="33:159" hidden="1" x14ac:dyDescent="0.35"/>
    <row r="157" spans="33:159" s="4" customFormat="1" hidden="1" x14ac:dyDescent="0.35">
      <c r="AJ157" s="4">
        <v>1</v>
      </c>
      <c r="AK157" s="4">
        <f>AJ157+1</f>
        <v>2</v>
      </c>
      <c r="AL157" s="4">
        <f t="shared" ref="AL157:BI157" si="4">AK157+1</f>
        <v>3</v>
      </c>
      <c r="AM157" s="4">
        <f t="shared" si="4"/>
        <v>4</v>
      </c>
      <c r="AN157" s="4">
        <f t="shared" si="4"/>
        <v>5</v>
      </c>
      <c r="AO157" s="4">
        <f t="shared" si="4"/>
        <v>6</v>
      </c>
      <c r="AP157" s="4">
        <f t="shared" si="4"/>
        <v>7</v>
      </c>
      <c r="AQ157" s="4">
        <f t="shared" si="4"/>
        <v>8</v>
      </c>
      <c r="AR157" s="4">
        <f t="shared" si="4"/>
        <v>9</v>
      </c>
      <c r="AS157" s="4">
        <f t="shared" si="4"/>
        <v>10</v>
      </c>
      <c r="AT157" s="4">
        <f t="shared" si="4"/>
        <v>11</v>
      </c>
      <c r="AU157" s="4">
        <f t="shared" si="4"/>
        <v>12</v>
      </c>
      <c r="AV157" s="4">
        <f t="shared" si="4"/>
        <v>13</v>
      </c>
      <c r="AW157" s="4">
        <f t="shared" si="4"/>
        <v>14</v>
      </c>
      <c r="AX157" s="4">
        <f t="shared" si="4"/>
        <v>15</v>
      </c>
      <c r="AY157" s="4">
        <f t="shared" si="4"/>
        <v>16</v>
      </c>
      <c r="AZ157" s="4">
        <f t="shared" si="4"/>
        <v>17</v>
      </c>
      <c r="BA157" s="4">
        <f t="shared" si="4"/>
        <v>18</v>
      </c>
      <c r="BB157" s="4">
        <f t="shared" si="4"/>
        <v>19</v>
      </c>
      <c r="BC157" s="4">
        <f>BB157+1</f>
        <v>20</v>
      </c>
      <c r="BD157" s="4">
        <f t="shared" si="4"/>
        <v>21</v>
      </c>
      <c r="BE157" s="4">
        <f t="shared" si="4"/>
        <v>22</v>
      </c>
      <c r="BF157" s="4">
        <f t="shared" si="4"/>
        <v>23</v>
      </c>
      <c r="BG157" s="4">
        <f t="shared" si="4"/>
        <v>24</v>
      </c>
      <c r="BH157" s="4">
        <f>BG157+1</f>
        <v>25</v>
      </c>
      <c r="BI157" s="4">
        <f t="shared" si="4"/>
        <v>26</v>
      </c>
      <c r="BR157" s="4">
        <v>1</v>
      </c>
      <c r="BS157" s="4">
        <f>BR157+1</f>
        <v>2</v>
      </c>
      <c r="BT157" s="4">
        <f t="shared" ref="BT157:CQ157" si="5">BS157+1</f>
        <v>3</v>
      </c>
      <c r="BU157" s="4">
        <f t="shared" si="5"/>
        <v>4</v>
      </c>
      <c r="BV157" s="4">
        <f t="shared" si="5"/>
        <v>5</v>
      </c>
      <c r="BW157" s="4">
        <f t="shared" si="5"/>
        <v>6</v>
      </c>
      <c r="BX157" s="4">
        <f t="shared" si="5"/>
        <v>7</v>
      </c>
      <c r="BY157" s="4">
        <f t="shared" si="5"/>
        <v>8</v>
      </c>
      <c r="BZ157" s="4">
        <f t="shared" si="5"/>
        <v>9</v>
      </c>
      <c r="CA157" s="4">
        <f t="shared" si="5"/>
        <v>10</v>
      </c>
      <c r="CB157" s="4">
        <f t="shared" si="5"/>
        <v>11</v>
      </c>
      <c r="CC157" s="4">
        <f t="shared" si="5"/>
        <v>12</v>
      </c>
      <c r="CD157" s="4">
        <f t="shared" si="5"/>
        <v>13</v>
      </c>
      <c r="CE157" s="4">
        <f t="shared" si="5"/>
        <v>14</v>
      </c>
      <c r="CF157" s="4">
        <f t="shared" si="5"/>
        <v>15</v>
      </c>
      <c r="CG157" s="4">
        <f t="shared" si="5"/>
        <v>16</v>
      </c>
      <c r="CH157" s="4">
        <f t="shared" si="5"/>
        <v>17</v>
      </c>
      <c r="CI157" s="4">
        <f t="shared" si="5"/>
        <v>18</v>
      </c>
      <c r="CJ157" s="4">
        <f t="shared" si="5"/>
        <v>19</v>
      </c>
      <c r="CK157" s="4">
        <f>CJ157+1</f>
        <v>20</v>
      </c>
      <c r="CL157" s="4">
        <f t="shared" si="5"/>
        <v>21</v>
      </c>
      <c r="CM157" s="4">
        <f t="shared" si="5"/>
        <v>22</v>
      </c>
      <c r="CN157" s="4">
        <f t="shared" si="5"/>
        <v>23</v>
      </c>
      <c r="CO157" s="4">
        <f t="shared" si="5"/>
        <v>24</v>
      </c>
      <c r="CP157" s="4">
        <f>CO157+1</f>
        <v>25</v>
      </c>
      <c r="CQ157" s="4">
        <f t="shared" si="5"/>
        <v>26</v>
      </c>
      <c r="CX157" s="4">
        <v>1</v>
      </c>
      <c r="CY157" s="4">
        <f>CX157+1</f>
        <v>2</v>
      </c>
      <c r="CZ157" s="4">
        <f t="shared" ref="CZ157:FC157" si="6">CY157+1</f>
        <v>3</v>
      </c>
      <c r="DA157" s="4">
        <f t="shared" si="6"/>
        <v>4</v>
      </c>
      <c r="DB157" s="4">
        <f t="shared" si="6"/>
        <v>5</v>
      </c>
      <c r="DC157" s="4">
        <f t="shared" si="6"/>
        <v>6</v>
      </c>
      <c r="DD157" s="4">
        <f t="shared" si="6"/>
        <v>7</v>
      </c>
      <c r="DE157" s="4">
        <f t="shared" si="6"/>
        <v>8</v>
      </c>
      <c r="DF157" s="4">
        <f t="shared" si="6"/>
        <v>9</v>
      </c>
      <c r="DG157" s="4">
        <f t="shared" si="6"/>
        <v>10</v>
      </c>
      <c r="DH157" s="4">
        <f t="shared" si="6"/>
        <v>11</v>
      </c>
      <c r="DI157" s="4">
        <f t="shared" si="6"/>
        <v>12</v>
      </c>
      <c r="DJ157" s="4">
        <f t="shared" si="6"/>
        <v>13</v>
      </c>
      <c r="DK157" s="4">
        <f t="shared" si="6"/>
        <v>14</v>
      </c>
      <c r="DL157" s="4">
        <f t="shared" si="6"/>
        <v>15</v>
      </c>
      <c r="DM157" s="4">
        <f t="shared" si="6"/>
        <v>16</v>
      </c>
      <c r="DN157" s="4">
        <f t="shared" si="6"/>
        <v>17</v>
      </c>
      <c r="DO157" s="4">
        <f t="shared" si="6"/>
        <v>18</v>
      </c>
      <c r="DP157" s="4">
        <f t="shared" si="6"/>
        <v>19</v>
      </c>
      <c r="DQ157" s="4">
        <f t="shared" si="6"/>
        <v>20</v>
      </c>
      <c r="DR157" s="4">
        <f t="shared" si="6"/>
        <v>21</v>
      </c>
      <c r="DS157" s="4">
        <f t="shared" si="6"/>
        <v>22</v>
      </c>
      <c r="DT157" s="4">
        <f t="shared" si="6"/>
        <v>23</v>
      </c>
      <c r="DU157" s="4">
        <f t="shared" si="6"/>
        <v>24</v>
      </c>
      <c r="DV157" s="4">
        <f t="shared" si="6"/>
        <v>25</v>
      </c>
      <c r="DW157" s="4">
        <f t="shared" si="6"/>
        <v>26</v>
      </c>
      <c r="ED157" s="4">
        <v>1</v>
      </c>
      <c r="EE157" s="4">
        <f>ED157+1</f>
        <v>2</v>
      </c>
      <c r="EF157" s="4">
        <f t="shared" si="6"/>
        <v>3</v>
      </c>
      <c r="EG157" s="4">
        <f t="shared" si="6"/>
        <v>4</v>
      </c>
      <c r="EH157" s="4">
        <f t="shared" si="6"/>
        <v>5</v>
      </c>
      <c r="EI157" s="4">
        <f t="shared" si="6"/>
        <v>6</v>
      </c>
      <c r="EJ157" s="4">
        <f t="shared" si="6"/>
        <v>7</v>
      </c>
      <c r="EK157" s="4">
        <f t="shared" si="6"/>
        <v>8</v>
      </c>
      <c r="EL157" s="4">
        <f t="shared" si="6"/>
        <v>9</v>
      </c>
      <c r="EM157" s="4">
        <f t="shared" si="6"/>
        <v>10</v>
      </c>
      <c r="EN157" s="4">
        <f t="shared" si="6"/>
        <v>11</v>
      </c>
      <c r="EO157" s="4">
        <f t="shared" si="6"/>
        <v>12</v>
      </c>
      <c r="EP157" s="4">
        <f t="shared" si="6"/>
        <v>13</v>
      </c>
      <c r="EQ157" s="4">
        <f t="shared" si="6"/>
        <v>14</v>
      </c>
      <c r="ER157" s="4">
        <f t="shared" si="6"/>
        <v>15</v>
      </c>
      <c r="ES157" s="4">
        <f t="shared" si="6"/>
        <v>16</v>
      </c>
      <c r="ET157" s="4">
        <f t="shared" si="6"/>
        <v>17</v>
      </c>
      <c r="EU157" s="4">
        <f t="shared" si="6"/>
        <v>18</v>
      </c>
      <c r="EV157" s="4">
        <f t="shared" si="6"/>
        <v>19</v>
      </c>
      <c r="EW157" s="4">
        <f t="shared" si="6"/>
        <v>20</v>
      </c>
      <c r="EX157" s="4">
        <f t="shared" si="6"/>
        <v>21</v>
      </c>
      <c r="EY157" s="4">
        <f t="shared" si="6"/>
        <v>22</v>
      </c>
      <c r="EZ157" s="4">
        <f t="shared" si="6"/>
        <v>23</v>
      </c>
      <c r="FA157" s="4">
        <f t="shared" si="6"/>
        <v>24</v>
      </c>
      <c r="FB157" s="4">
        <f t="shared" si="6"/>
        <v>25</v>
      </c>
      <c r="FC157" s="4">
        <f t="shared" si="6"/>
        <v>26</v>
      </c>
    </row>
    <row r="158" spans="33:159" hidden="1" x14ac:dyDescent="0.35"/>
    <row r="159" spans="33:159" hidden="1" x14ac:dyDescent="0.35"/>
    <row r="160" spans="33:159" hidden="1" x14ac:dyDescent="0.35"/>
    <row r="161" hidden="1" x14ac:dyDescent="0.35"/>
    <row r="162" hidden="1" x14ac:dyDescent="0.35"/>
    <row r="163" hidden="1" x14ac:dyDescent="0.35"/>
    <row r="164" hidden="1" x14ac:dyDescent="0.35"/>
    <row r="165" hidden="1" x14ac:dyDescent="0.35"/>
    <row r="166" hidden="1" x14ac:dyDescent="0.35"/>
    <row r="167" hidden="1" x14ac:dyDescent="0.35"/>
    <row r="168" hidden="1" x14ac:dyDescent="0.35"/>
    <row r="169" hidden="1" x14ac:dyDescent="0.35"/>
    <row r="170" hidden="1" x14ac:dyDescent="0.35"/>
    <row r="171" hidden="1" x14ac:dyDescent="0.35"/>
    <row r="172" hidden="1" x14ac:dyDescent="0.35"/>
    <row r="173" hidden="1" x14ac:dyDescent="0.35"/>
    <row r="174" hidden="1" x14ac:dyDescent="0.35"/>
    <row r="175" hidden="1" x14ac:dyDescent="0.35"/>
    <row r="176" hidden="1" x14ac:dyDescent="0.35"/>
    <row r="177" hidden="1" x14ac:dyDescent="0.35"/>
    <row r="178" hidden="1" x14ac:dyDescent="0.35"/>
    <row r="179" hidden="1" x14ac:dyDescent="0.35"/>
    <row r="180" hidden="1" x14ac:dyDescent="0.35"/>
    <row r="181" hidden="1" x14ac:dyDescent="0.35"/>
    <row r="182" hidden="1" x14ac:dyDescent="0.35"/>
    <row r="183" hidden="1" x14ac:dyDescent="0.35"/>
    <row r="184" hidden="1" x14ac:dyDescent="0.35"/>
    <row r="185" hidden="1" x14ac:dyDescent="0.35"/>
    <row r="186" hidden="1" x14ac:dyDescent="0.35"/>
    <row r="187" hidden="1" x14ac:dyDescent="0.35"/>
    <row r="188" hidden="1" x14ac:dyDescent="0.35"/>
    <row r="189" hidden="1" x14ac:dyDescent="0.35"/>
    <row r="190" hidden="1" x14ac:dyDescent="0.35"/>
    <row r="191" hidden="1" x14ac:dyDescent="0.35"/>
    <row r="192" hidden="1" x14ac:dyDescent="0.35"/>
    <row r="193" hidden="1" x14ac:dyDescent="0.35"/>
    <row r="194" hidden="1" x14ac:dyDescent="0.35"/>
    <row r="195" hidden="1" x14ac:dyDescent="0.35"/>
    <row r="196" hidden="1" x14ac:dyDescent="0.35"/>
    <row r="197" hidden="1" x14ac:dyDescent="0.35"/>
    <row r="198" hidden="1" x14ac:dyDescent="0.35"/>
    <row r="199" hidden="1" x14ac:dyDescent="0.35"/>
    <row r="200" hidden="1" x14ac:dyDescent="0.35"/>
    <row r="201" hidden="1" x14ac:dyDescent="0.35"/>
    <row r="202" hidden="1" x14ac:dyDescent="0.35"/>
    <row r="203" hidden="1" x14ac:dyDescent="0.35"/>
    <row r="204" hidden="1" x14ac:dyDescent="0.35"/>
    <row r="205" hidden="1" x14ac:dyDescent="0.35"/>
    <row r="206" hidden="1" x14ac:dyDescent="0.35"/>
    <row r="207" hidden="1" x14ac:dyDescent="0.35"/>
    <row r="208" hidden="1" x14ac:dyDescent="0.35"/>
    <row r="209" spans="2:30" hidden="1" x14ac:dyDescent="0.35"/>
    <row r="212" spans="2:30" ht="15" x14ac:dyDescent="0.25">
      <c r="B212" s="23"/>
      <c r="C212" s="23"/>
      <c r="D212" s="23"/>
      <c r="E212" s="24">
        <v>1</v>
      </c>
      <c r="F212" s="24">
        <f t="shared" ref="F212:Z212" si="7">E212+1</f>
        <v>2</v>
      </c>
      <c r="G212" s="24">
        <f t="shared" si="7"/>
        <v>3</v>
      </c>
      <c r="H212" s="24">
        <f t="shared" si="7"/>
        <v>4</v>
      </c>
      <c r="I212" s="24">
        <f t="shared" si="7"/>
        <v>5</v>
      </c>
      <c r="J212" s="24">
        <f t="shared" si="7"/>
        <v>6</v>
      </c>
      <c r="K212" s="24">
        <f t="shared" si="7"/>
        <v>7</v>
      </c>
      <c r="L212" s="24">
        <f t="shared" si="7"/>
        <v>8</v>
      </c>
      <c r="M212" s="24">
        <f t="shared" si="7"/>
        <v>9</v>
      </c>
      <c r="N212" s="24">
        <f t="shared" si="7"/>
        <v>10</v>
      </c>
      <c r="O212" s="24">
        <f t="shared" si="7"/>
        <v>11</v>
      </c>
      <c r="P212" s="24">
        <f t="shared" si="7"/>
        <v>12</v>
      </c>
      <c r="Q212" s="24">
        <f t="shared" si="7"/>
        <v>13</v>
      </c>
      <c r="R212" s="24">
        <f t="shared" si="7"/>
        <v>14</v>
      </c>
      <c r="S212" s="24">
        <f t="shared" si="7"/>
        <v>15</v>
      </c>
      <c r="T212" s="24">
        <f t="shared" si="7"/>
        <v>16</v>
      </c>
      <c r="U212" s="24">
        <f t="shared" si="7"/>
        <v>17</v>
      </c>
      <c r="V212" s="24">
        <f t="shared" si="7"/>
        <v>18</v>
      </c>
      <c r="W212" s="24">
        <f t="shared" si="7"/>
        <v>19</v>
      </c>
      <c r="X212" s="24">
        <f t="shared" si="7"/>
        <v>20</v>
      </c>
      <c r="Y212" s="24">
        <f t="shared" si="7"/>
        <v>21</v>
      </c>
      <c r="Z212" s="24">
        <f t="shared" si="7"/>
        <v>22</v>
      </c>
      <c r="AA212" s="24">
        <v>23</v>
      </c>
      <c r="AB212" s="24">
        <v>24</v>
      </c>
      <c r="AC212" s="24"/>
      <c r="AD212" s="24"/>
    </row>
    <row r="213" spans="2:30" ht="15.75" thickBot="1" x14ac:dyDescent="0.3">
      <c r="B213" s="23"/>
      <c r="C213" s="23"/>
      <c r="D213" s="23"/>
      <c r="E213" s="25">
        <v>0.375</v>
      </c>
      <c r="F213" s="25">
        <v>0.38541666666666669</v>
      </c>
      <c r="G213" s="25">
        <v>0.39583333333333298</v>
      </c>
      <c r="H213" s="25">
        <v>0.40625</v>
      </c>
      <c r="I213" s="25">
        <v>0.41666666666666702</v>
      </c>
      <c r="J213" s="25">
        <v>0.4236111111111111</v>
      </c>
      <c r="K213" s="25">
        <v>0.43055555555555558</v>
      </c>
      <c r="L213" s="25">
        <v>0.4375</v>
      </c>
      <c r="M213" s="25">
        <v>0.44444444444444442</v>
      </c>
      <c r="N213" s="25">
        <v>0.45833333333333331</v>
      </c>
      <c r="O213" s="25">
        <v>0.47222222222222227</v>
      </c>
      <c r="P213" s="25">
        <v>0.4861111111111111</v>
      </c>
      <c r="Q213" s="25">
        <v>0.5</v>
      </c>
      <c r="R213" s="25">
        <v>0.51041666666666663</v>
      </c>
      <c r="S213" s="25">
        <v>0.52083333333333337</v>
      </c>
      <c r="T213" s="25">
        <v>0.53125</v>
      </c>
      <c r="U213" s="25">
        <v>0.54166666666666663</v>
      </c>
      <c r="V213" s="25">
        <v>0.55555555555555558</v>
      </c>
      <c r="W213" s="25">
        <v>0.56944444444444442</v>
      </c>
      <c r="X213" s="25">
        <v>0.58333333333333337</v>
      </c>
      <c r="Y213" s="25">
        <v>0.59722222222222221</v>
      </c>
      <c r="Z213" s="25">
        <v>0.61111111111111105</v>
      </c>
      <c r="AA213" s="25">
        <v>0.625</v>
      </c>
      <c r="AB213" s="25">
        <v>0.63888888888888895</v>
      </c>
      <c r="AC213" s="25"/>
      <c r="AD213" s="25"/>
    </row>
    <row r="214" spans="2:30" ht="15" thickBot="1" x14ac:dyDescent="0.4">
      <c r="B214" s="23"/>
      <c r="C214" s="23"/>
      <c r="D214" s="23" t="s">
        <v>115</v>
      </c>
      <c r="E214" s="45" t="s">
        <v>159</v>
      </c>
      <c r="F214" s="47"/>
      <c r="G214" s="45" t="s">
        <v>204</v>
      </c>
      <c r="H214" s="47"/>
      <c r="I214" s="45" t="s">
        <v>78</v>
      </c>
      <c r="J214" s="47"/>
      <c r="K214" s="43" t="s">
        <v>109</v>
      </c>
      <c r="L214" s="46"/>
      <c r="M214" s="44"/>
      <c r="N214" s="43" t="s">
        <v>110</v>
      </c>
      <c r="O214" s="46"/>
      <c r="P214" s="44"/>
      <c r="Q214" s="45" t="s">
        <v>112</v>
      </c>
      <c r="R214" s="47"/>
      <c r="S214" s="45" t="s">
        <v>113</v>
      </c>
      <c r="T214" s="46"/>
      <c r="U214" s="43" t="s">
        <v>111</v>
      </c>
      <c r="V214" s="44"/>
      <c r="W214" s="43" t="s">
        <v>114</v>
      </c>
      <c r="X214" s="44"/>
      <c r="Y214" s="43" t="s">
        <v>205</v>
      </c>
      <c r="Z214" s="44"/>
      <c r="AA214" s="26" t="s">
        <v>206</v>
      </c>
      <c r="AB214" s="27"/>
      <c r="AC214" s="27"/>
      <c r="AD214" s="27"/>
    </row>
    <row r="215" spans="2:30" s="7" customFormat="1" ht="10" customHeight="1" thickBot="1" x14ac:dyDescent="0.35">
      <c r="B215" s="28"/>
      <c r="C215" s="7" t="s">
        <v>0</v>
      </c>
      <c r="D215" s="7" t="s">
        <v>104</v>
      </c>
      <c r="E215" s="53" t="s">
        <v>159</v>
      </c>
      <c r="F215" s="54" t="s">
        <v>69</v>
      </c>
      <c r="K215" s="57" t="s">
        <v>0</v>
      </c>
      <c r="L215" s="58" t="s">
        <v>75</v>
      </c>
      <c r="M215" s="58" t="s">
        <v>69</v>
      </c>
      <c r="N215" s="58" t="s">
        <v>81</v>
      </c>
      <c r="O215" s="58" t="s">
        <v>71</v>
      </c>
      <c r="P215" s="59"/>
      <c r="U215" s="57" t="s">
        <v>0</v>
      </c>
      <c r="V215" s="58" t="s">
        <v>117</v>
      </c>
      <c r="W215" s="58" t="s">
        <v>118</v>
      </c>
      <c r="X215" s="58" t="s">
        <v>69</v>
      </c>
      <c r="Y215" s="58" t="s">
        <v>70</v>
      </c>
      <c r="Z215" s="58"/>
      <c r="AA215" s="59"/>
    </row>
    <row r="216" spans="2:30" s="7" customFormat="1" ht="10" customHeight="1" thickBot="1" x14ac:dyDescent="0.35">
      <c r="B216" s="28"/>
      <c r="E216" s="55" t="s">
        <v>81</v>
      </c>
      <c r="F216" s="56" t="s">
        <v>71</v>
      </c>
    </row>
    <row r="217" spans="2:30" s="7" customFormat="1" ht="10" customHeight="1" x14ac:dyDescent="0.3">
      <c r="B217" s="28"/>
    </row>
    <row r="218" spans="2:30" s="7" customFormat="1" ht="10" customHeight="1" x14ac:dyDescent="0.3">
      <c r="B218" s="28"/>
    </row>
    <row r="219" spans="2:30" s="7" customFormat="1" ht="10" customHeight="1" x14ac:dyDescent="0.3">
      <c r="B219" s="28"/>
    </row>
    <row r="220" spans="2:30" s="7" customFormat="1" ht="10" customHeight="1" thickBot="1" x14ac:dyDescent="0.35">
      <c r="B220" s="28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</row>
    <row r="221" spans="2:30" s="7" customFormat="1" ht="10" customHeight="1" thickBot="1" x14ac:dyDescent="0.35">
      <c r="B221" s="28"/>
    </row>
    <row r="222" spans="2:30" s="7" customFormat="1" ht="10" customHeight="1" thickBot="1" x14ac:dyDescent="0.35">
      <c r="B222" s="28"/>
      <c r="C222" s="7" t="s">
        <v>5</v>
      </c>
      <c r="D222" s="7" t="s">
        <v>104</v>
      </c>
      <c r="E222" s="53" t="s">
        <v>159</v>
      </c>
      <c r="F222" s="54" t="s">
        <v>72</v>
      </c>
      <c r="K222" s="53" t="s">
        <v>5</v>
      </c>
      <c r="L222" s="61" t="s">
        <v>83</v>
      </c>
      <c r="M222" s="54" t="s">
        <v>218</v>
      </c>
      <c r="N222" s="53" t="s">
        <v>5</v>
      </c>
      <c r="O222" s="61" t="s">
        <v>83</v>
      </c>
      <c r="P222" s="54" t="s">
        <v>72</v>
      </c>
      <c r="U222" s="57" t="s">
        <v>5</v>
      </c>
      <c r="V222" s="58" t="s">
        <v>83</v>
      </c>
      <c r="W222" s="58" t="s">
        <v>72</v>
      </c>
      <c r="X222" s="58" t="s">
        <v>161</v>
      </c>
      <c r="Y222" s="58"/>
      <c r="Z222" s="58"/>
      <c r="AA222" s="59"/>
    </row>
    <row r="223" spans="2:30" s="7" customFormat="1" ht="10" customHeight="1" thickBot="1" x14ac:dyDescent="0.35">
      <c r="B223" s="28"/>
      <c r="E223" s="55" t="s">
        <v>161</v>
      </c>
      <c r="F223" s="56"/>
      <c r="K223" s="55" t="s">
        <v>72</v>
      </c>
      <c r="L223" s="62" t="s">
        <v>161</v>
      </c>
      <c r="M223" s="56"/>
      <c r="N223" s="55" t="s">
        <v>161</v>
      </c>
      <c r="O223" s="62"/>
      <c r="P223" s="56"/>
    </row>
    <row r="224" spans="2:30" s="7" customFormat="1" ht="10" customHeight="1" x14ac:dyDescent="0.3">
      <c r="B224" s="28"/>
    </row>
    <row r="225" spans="2:29" s="7" customFormat="1" ht="10" customHeight="1" x14ac:dyDescent="0.3">
      <c r="B225" s="28"/>
    </row>
    <row r="226" spans="2:29" s="7" customFormat="1" ht="10" customHeight="1" x14ac:dyDescent="0.3">
      <c r="B226" s="28"/>
    </row>
    <row r="227" spans="2:29" s="7" customFormat="1" ht="10" customHeight="1" thickBot="1" x14ac:dyDescent="0.35">
      <c r="B227" s="28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</row>
    <row r="228" spans="2:29" s="7" customFormat="1" ht="10" customHeight="1" thickBot="1" x14ac:dyDescent="0.35">
      <c r="B228" s="28"/>
    </row>
    <row r="229" spans="2:29" s="7" customFormat="1" ht="10" customHeight="1" thickBot="1" x14ac:dyDescent="0.35">
      <c r="B229" s="28"/>
      <c r="C229" s="7" t="s">
        <v>7</v>
      </c>
      <c r="D229" s="7" t="s">
        <v>104</v>
      </c>
      <c r="E229" s="53" t="s">
        <v>159</v>
      </c>
      <c r="F229" s="54" t="s">
        <v>70</v>
      </c>
      <c r="K229" s="57" t="s">
        <v>7</v>
      </c>
      <c r="L229" s="58" t="s">
        <v>79</v>
      </c>
      <c r="M229" s="58" t="s">
        <v>77</v>
      </c>
      <c r="N229" s="58" t="s">
        <v>70</v>
      </c>
      <c r="O229" s="58" t="s">
        <v>190</v>
      </c>
      <c r="P229" s="59"/>
      <c r="U229" s="53" t="s">
        <v>7</v>
      </c>
      <c r="V229" s="54" t="s">
        <v>73</v>
      </c>
      <c r="W229" s="57" t="s">
        <v>7</v>
      </c>
      <c r="X229" s="58" t="s">
        <v>75</v>
      </c>
      <c r="Y229" s="58" t="s">
        <v>80</v>
      </c>
      <c r="Z229" s="58" t="s">
        <v>99</v>
      </c>
      <c r="AA229" s="59"/>
    </row>
    <row r="230" spans="2:29" s="7" customFormat="1" ht="10" customHeight="1" thickBot="1" x14ac:dyDescent="0.35">
      <c r="B230" s="28"/>
      <c r="E230" s="55" t="s">
        <v>190</v>
      </c>
      <c r="F230" s="56"/>
      <c r="U230" s="55" t="s">
        <v>80</v>
      </c>
      <c r="V230" s="56" t="s">
        <v>99</v>
      </c>
    </row>
    <row r="231" spans="2:29" s="7" customFormat="1" ht="10" customHeight="1" thickBot="1" x14ac:dyDescent="0.35">
      <c r="B231" s="28"/>
      <c r="D231" s="7" t="s">
        <v>6</v>
      </c>
      <c r="G231" s="20" t="s">
        <v>221</v>
      </c>
      <c r="H231" s="9" t="s">
        <v>80</v>
      </c>
      <c r="I231" s="9"/>
      <c r="J231" s="9"/>
      <c r="K231" s="9"/>
      <c r="L231" s="9"/>
      <c r="M231" s="9"/>
      <c r="N231" s="9"/>
      <c r="O231" s="9"/>
      <c r="P231" s="21"/>
    </row>
    <row r="232" spans="2:29" s="7" customFormat="1" ht="10" customHeight="1" thickBot="1" x14ac:dyDescent="0.35">
      <c r="B232" s="28"/>
      <c r="D232" s="7" t="s">
        <v>11</v>
      </c>
      <c r="S232" s="20" t="s">
        <v>223</v>
      </c>
      <c r="T232" s="9" t="s">
        <v>71</v>
      </c>
      <c r="U232" s="9"/>
      <c r="V232" s="9"/>
      <c r="W232" s="9"/>
      <c r="X232" s="9"/>
      <c r="Y232" s="9"/>
      <c r="Z232" s="9"/>
      <c r="AA232" s="21"/>
    </row>
    <row r="233" spans="2:29" s="7" customFormat="1" ht="10" customHeight="1" thickBot="1" x14ac:dyDescent="0.35">
      <c r="B233" s="28"/>
      <c r="D233" s="7" t="s">
        <v>157</v>
      </c>
      <c r="S233" s="20" t="s">
        <v>223</v>
      </c>
      <c r="T233" s="9" t="s">
        <v>71</v>
      </c>
      <c r="U233" s="9"/>
      <c r="V233" s="9"/>
      <c r="W233" s="9"/>
      <c r="X233" s="9"/>
      <c r="Y233" s="9"/>
      <c r="Z233" s="9"/>
      <c r="AA233" s="21"/>
    </row>
    <row r="234" spans="2:29" s="7" customFormat="1" ht="10" customHeight="1" thickBot="1" x14ac:dyDescent="0.35">
      <c r="B234" s="28"/>
      <c r="D234" s="7" t="s">
        <v>10</v>
      </c>
      <c r="W234" s="20" t="s">
        <v>227</v>
      </c>
      <c r="X234" s="9" t="s">
        <v>190</v>
      </c>
      <c r="Y234" s="9"/>
      <c r="Z234" s="9"/>
      <c r="AA234" s="21"/>
    </row>
    <row r="235" spans="2:29" s="7" customFormat="1" ht="10" customHeight="1" thickBot="1" x14ac:dyDescent="0.35">
      <c r="B235" s="28"/>
      <c r="D235" s="7" t="s">
        <v>8</v>
      </c>
      <c r="U235" s="20" t="s">
        <v>229</v>
      </c>
      <c r="V235" s="9" t="s">
        <v>82</v>
      </c>
      <c r="W235" s="9"/>
      <c r="X235" s="9"/>
      <c r="Y235" s="9"/>
      <c r="Z235" s="9"/>
      <c r="AA235" s="21"/>
    </row>
    <row r="236" spans="2:29" s="7" customFormat="1" ht="10" customHeight="1" x14ac:dyDescent="0.3">
      <c r="B236" s="28"/>
    </row>
    <row r="237" spans="2:29" s="7" customFormat="1" ht="10" customHeight="1" thickBot="1" x14ac:dyDescent="0.35">
      <c r="B237" s="28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</row>
    <row r="238" spans="2:29" s="7" customFormat="1" ht="10" customHeight="1" x14ac:dyDescent="0.3">
      <c r="B238" s="28"/>
    </row>
    <row r="239" spans="2:29" s="7" customFormat="1" ht="10" customHeight="1" x14ac:dyDescent="0.3">
      <c r="B239" s="28"/>
      <c r="C239" s="7" t="s">
        <v>12</v>
      </c>
    </row>
    <row r="240" spans="2:29" s="7" customFormat="1" ht="10" customHeight="1" thickBot="1" x14ac:dyDescent="0.35">
      <c r="B240" s="28"/>
      <c r="D240" s="7" t="s">
        <v>198</v>
      </c>
    </row>
    <row r="241" spans="2:29" s="7" customFormat="1" ht="10" customHeight="1" thickBot="1" x14ac:dyDescent="0.35">
      <c r="B241" s="28"/>
      <c r="D241" s="7" t="s">
        <v>13</v>
      </c>
      <c r="G241" s="57" t="s">
        <v>13</v>
      </c>
      <c r="H241" s="58" t="s">
        <v>100</v>
      </c>
      <c r="I241" s="58" t="s">
        <v>82</v>
      </c>
      <c r="J241" s="58"/>
      <c r="K241" s="58"/>
      <c r="L241" s="58"/>
      <c r="M241" s="58"/>
      <c r="N241" s="58"/>
      <c r="O241" s="58"/>
      <c r="P241" s="59"/>
      <c r="Q241" s="57" t="s">
        <v>13</v>
      </c>
      <c r="R241" s="58" t="s">
        <v>100</v>
      </c>
      <c r="S241" s="58" t="s">
        <v>99</v>
      </c>
      <c r="T241" s="59"/>
      <c r="U241" s="53" t="s">
        <v>13</v>
      </c>
      <c r="V241" s="54" t="s">
        <v>75</v>
      </c>
      <c r="W241" s="57" t="s">
        <v>13</v>
      </c>
      <c r="X241" s="58" t="s">
        <v>73</v>
      </c>
      <c r="Y241" s="59" t="s">
        <v>100</v>
      </c>
    </row>
    <row r="242" spans="2:29" s="7" customFormat="1" ht="10" customHeight="1" thickBot="1" x14ac:dyDescent="0.35">
      <c r="B242" s="28"/>
      <c r="U242" s="55" t="s">
        <v>100</v>
      </c>
      <c r="V242" s="56"/>
    </row>
    <row r="243" spans="2:29" s="7" customFormat="1" ht="10" customHeight="1" thickBot="1" x14ac:dyDescent="0.35">
      <c r="B243" s="28"/>
      <c r="D243" s="7" t="s">
        <v>16</v>
      </c>
      <c r="E243" s="20" t="s">
        <v>16</v>
      </c>
      <c r="F243" s="9" t="s">
        <v>116</v>
      </c>
      <c r="G243" s="9" t="s">
        <v>74</v>
      </c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21"/>
    </row>
    <row r="244" spans="2:29" s="7" customFormat="1" ht="10" customHeight="1" thickBot="1" x14ac:dyDescent="0.35">
      <c r="B244" s="28"/>
      <c r="D244" s="7" t="s">
        <v>149</v>
      </c>
      <c r="U244" s="20" t="s">
        <v>171</v>
      </c>
      <c r="V244" s="9" t="s">
        <v>77</v>
      </c>
      <c r="W244" s="9"/>
      <c r="X244" s="9"/>
      <c r="Y244" s="9"/>
      <c r="Z244" s="9"/>
      <c r="AA244" s="21"/>
    </row>
    <row r="245" spans="2:29" s="7" customFormat="1" ht="10" customHeight="1" thickBot="1" x14ac:dyDescent="0.35">
      <c r="B245" s="28"/>
      <c r="D245" s="7" t="s">
        <v>105</v>
      </c>
    </row>
    <row r="246" spans="2:29" s="7" customFormat="1" ht="10" customHeight="1" thickBot="1" x14ac:dyDescent="0.35">
      <c r="B246" s="28"/>
      <c r="D246" s="7" t="s">
        <v>15</v>
      </c>
      <c r="E246" s="20" t="s">
        <v>220</v>
      </c>
      <c r="F246" s="9" t="s">
        <v>73</v>
      </c>
      <c r="G246" s="9"/>
      <c r="H246" s="9"/>
      <c r="I246" s="9"/>
      <c r="J246" s="9"/>
      <c r="K246" s="9"/>
      <c r="L246" s="9"/>
      <c r="M246" s="9"/>
      <c r="N246" s="21"/>
    </row>
    <row r="247" spans="2:29" s="7" customFormat="1" ht="10" customHeight="1" thickBot="1" x14ac:dyDescent="0.35">
      <c r="B247" s="28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</row>
    <row r="248" spans="2:29" s="7" customFormat="1" ht="10" customHeight="1" x14ac:dyDescent="0.3">
      <c r="B248" s="28"/>
    </row>
    <row r="249" spans="2:29" s="7" customFormat="1" ht="10" customHeight="1" x14ac:dyDescent="0.3">
      <c r="B249" s="28"/>
      <c r="C249" s="7" t="s">
        <v>14</v>
      </c>
    </row>
    <row r="250" spans="2:29" s="7" customFormat="1" ht="10" customHeight="1" thickBot="1" x14ac:dyDescent="0.35">
      <c r="B250" s="28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</row>
    <row r="251" spans="2:29" s="7" customFormat="1" ht="10" customHeight="1" thickBot="1" x14ac:dyDescent="0.35">
      <c r="B251" s="28"/>
    </row>
    <row r="252" spans="2:29" s="7" customFormat="1" ht="10" customHeight="1" x14ac:dyDescent="0.3">
      <c r="B252" s="28"/>
      <c r="C252" s="7" t="s">
        <v>95</v>
      </c>
      <c r="G252" s="53" t="s">
        <v>106</v>
      </c>
      <c r="H252" s="54">
        <v>7</v>
      </c>
      <c r="I252" s="53" t="s">
        <v>78</v>
      </c>
      <c r="J252" s="54">
        <v>14</v>
      </c>
      <c r="Q252" s="53" t="s">
        <v>112</v>
      </c>
      <c r="R252" s="54">
        <v>15</v>
      </c>
      <c r="S252" s="53" t="s">
        <v>169</v>
      </c>
      <c r="T252" s="54">
        <v>13</v>
      </c>
    </row>
    <row r="253" spans="2:29" s="7" customFormat="1" ht="10" customHeight="1" x14ac:dyDescent="0.3">
      <c r="B253" s="28"/>
      <c r="G253" s="63" t="s">
        <v>31</v>
      </c>
      <c r="H253" s="64" t="s">
        <v>83</v>
      </c>
      <c r="I253" s="63" t="s">
        <v>38</v>
      </c>
      <c r="J253" s="64" t="s">
        <v>83</v>
      </c>
      <c r="Q253" s="63" t="s">
        <v>38</v>
      </c>
      <c r="R253" s="64" t="s">
        <v>75</v>
      </c>
      <c r="S253" s="63" t="s">
        <v>39</v>
      </c>
      <c r="T253" s="64" t="s">
        <v>73</v>
      </c>
    </row>
    <row r="254" spans="2:29" s="7" customFormat="1" ht="10" customHeight="1" thickBot="1" x14ac:dyDescent="0.35">
      <c r="B254" s="28"/>
      <c r="G254" s="63" t="s">
        <v>161</v>
      </c>
      <c r="H254" s="64" t="s">
        <v>69</v>
      </c>
      <c r="I254" s="55" t="s">
        <v>118</v>
      </c>
      <c r="J254" s="56"/>
      <c r="Q254" s="63" t="s">
        <v>79</v>
      </c>
      <c r="R254" s="64" t="s">
        <v>72</v>
      </c>
      <c r="S254" s="63" t="s">
        <v>83</v>
      </c>
      <c r="T254" s="64" t="s">
        <v>77</v>
      </c>
    </row>
    <row r="255" spans="2:29" s="7" customFormat="1" ht="10" customHeight="1" thickBot="1" x14ac:dyDescent="0.35">
      <c r="B255" s="28"/>
      <c r="G255" s="55" t="s">
        <v>99</v>
      </c>
      <c r="H255" s="56" t="s">
        <v>71</v>
      </c>
      <c r="Q255" s="55" t="s">
        <v>69</v>
      </c>
      <c r="R255" s="56" t="s">
        <v>82</v>
      </c>
      <c r="S255" s="55" t="s">
        <v>161</v>
      </c>
      <c r="T255" s="56" t="s">
        <v>71</v>
      </c>
    </row>
    <row r="256" spans="2:29" s="7" customFormat="1" ht="10" customHeight="1" x14ac:dyDescent="0.3">
      <c r="B256" s="28"/>
      <c r="G256" s="53" t="s">
        <v>107</v>
      </c>
      <c r="H256" s="54">
        <v>7</v>
      </c>
    </row>
    <row r="257" spans="2:29" s="7" customFormat="1" ht="10" customHeight="1" x14ac:dyDescent="0.3">
      <c r="B257" s="28"/>
      <c r="G257" s="63" t="s">
        <v>33</v>
      </c>
      <c r="H257" s="64" t="s">
        <v>118</v>
      </c>
    </row>
    <row r="258" spans="2:29" s="7" customFormat="1" ht="10" customHeight="1" x14ac:dyDescent="0.3">
      <c r="B258" s="28"/>
      <c r="G258" s="63" t="s">
        <v>72</v>
      </c>
      <c r="H258" s="64" t="s">
        <v>81</v>
      </c>
    </row>
    <row r="259" spans="2:29" s="7" customFormat="1" ht="10" customHeight="1" thickBot="1" x14ac:dyDescent="0.35">
      <c r="B259" s="28"/>
      <c r="G259" s="55" t="s">
        <v>190</v>
      </c>
      <c r="H259" s="56" t="s">
        <v>70</v>
      </c>
    </row>
    <row r="260" spans="2:29" s="7" customFormat="1" ht="10" customHeight="1" thickBot="1" x14ac:dyDescent="0.35">
      <c r="B260" s="28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</row>
    <row r="261" spans="2:29" hidden="1" x14ac:dyDescent="0.35">
      <c r="B261" s="23">
        <v>0</v>
      </c>
      <c r="D261" t="s">
        <v>173</v>
      </c>
      <c r="E261">
        <v>1</v>
      </c>
    </row>
    <row r="262" spans="2:29" hidden="1" x14ac:dyDescent="0.35">
      <c r="B262" s="23">
        <v>1</v>
      </c>
      <c r="D262" t="s">
        <v>151</v>
      </c>
      <c r="E262">
        <v>9</v>
      </c>
    </row>
    <row r="263" spans="2:29" hidden="1" x14ac:dyDescent="0.35">
      <c r="B263" s="23">
        <v>2</v>
      </c>
      <c r="D263" t="s">
        <v>207</v>
      </c>
      <c r="E263">
        <v>16</v>
      </c>
    </row>
    <row r="264" spans="2:29" hidden="1" x14ac:dyDescent="0.35">
      <c r="B264" s="23">
        <v>3</v>
      </c>
      <c r="D264" t="s">
        <v>192</v>
      </c>
      <c r="E264">
        <v>2</v>
      </c>
    </row>
    <row r="265" spans="2:29" hidden="1" x14ac:dyDescent="0.35">
      <c r="B265" s="23">
        <v>4</v>
      </c>
      <c r="D265" t="s">
        <v>214</v>
      </c>
      <c r="E265">
        <v>10</v>
      </c>
    </row>
    <row r="266" spans="2:29" hidden="1" x14ac:dyDescent="0.35">
      <c r="B266" s="23">
        <v>5</v>
      </c>
      <c r="D266" t="s">
        <v>208</v>
      </c>
      <c r="E266">
        <v>17</v>
      </c>
    </row>
    <row r="267" spans="2:29" hidden="1" x14ac:dyDescent="0.35">
      <c r="B267" s="23">
        <v>6</v>
      </c>
      <c r="D267" t="s">
        <v>215</v>
      </c>
      <c r="E267">
        <v>28</v>
      </c>
    </row>
    <row r="268" spans="2:29" hidden="1" x14ac:dyDescent="0.35">
      <c r="B268" s="23">
        <v>7</v>
      </c>
      <c r="D268" t="s">
        <v>194</v>
      </c>
      <c r="E268">
        <v>3</v>
      </c>
    </row>
    <row r="269" spans="2:29" hidden="1" x14ac:dyDescent="0.35">
      <c r="B269" s="23">
        <v>8</v>
      </c>
      <c r="D269" t="s">
        <v>193</v>
      </c>
      <c r="E269">
        <v>11</v>
      </c>
    </row>
    <row r="270" spans="2:29" hidden="1" x14ac:dyDescent="0.35">
      <c r="B270" s="23">
        <v>9</v>
      </c>
      <c r="D270" t="s">
        <v>209</v>
      </c>
      <c r="E270">
        <v>18</v>
      </c>
    </row>
    <row r="271" spans="2:29" hidden="1" x14ac:dyDescent="0.35">
      <c r="B271" s="23">
        <v>10</v>
      </c>
      <c r="D271" t="s">
        <v>282</v>
      </c>
      <c r="E271">
        <v>19</v>
      </c>
    </row>
    <row r="272" spans="2:29" hidden="1" x14ac:dyDescent="0.35">
      <c r="B272" s="23">
        <v>11</v>
      </c>
      <c r="D272" t="s">
        <v>230</v>
      </c>
      <c r="E272">
        <v>14</v>
      </c>
    </row>
    <row r="273" spans="2:30" hidden="1" x14ac:dyDescent="0.35">
      <c r="B273" s="23">
        <v>12</v>
      </c>
      <c r="D273" t="s">
        <v>231</v>
      </c>
      <c r="E273">
        <v>24</v>
      </c>
    </row>
    <row r="274" spans="2:30" hidden="1" x14ac:dyDescent="0.35">
      <c r="B274" s="23">
        <v>13</v>
      </c>
      <c r="D274" t="s">
        <v>232</v>
      </c>
      <c r="E274">
        <v>25</v>
      </c>
    </row>
    <row r="275" spans="2:30" hidden="1" x14ac:dyDescent="0.35">
      <c r="B275" s="23">
        <v>14</v>
      </c>
      <c r="D275" t="s">
        <v>233</v>
      </c>
      <c r="E275">
        <v>26</v>
      </c>
    </row>
    <row r="276" spans="2:30" hidden="1" x14ac:dyDescent="0.35">
      <c r="B276" s="23">
        <v>15</v>
      </c>
      <c r="D276" t="s">
        <v>234</v>
      </c>
      <c r="E276">
        <v>27</v>
      </c>
    </row>
    <row r="277" spans="2:30" hidden="1" x14ac:dyDescent="0.35">
      <c r="B277" s="23">
        <v>16</v>
      </c>
      <c r="D277" t="s">
        <v>235</v>
      </c>
      <c r="E277">
        <v>12</v>
      </c>
    </row>
    <row r="278" spans="2:30" hidden="1" x14ac:dyDescent="0.35">
      <c r="B278" s="23">
        <v>17</v>
      </c>
      <c r="D278" t="s">
        <v>236</v>
      </c>
      <c r="E278">
        <v>20</v>
      </c>
    </row>
    <row r="279" spans="2:30" hidden="1" x14ac:dyDescent="0.35">
      <c r="B279" s="23">
        <v>18</v>
      </c>
      <c r="D279" t="s">
        <v>237</v>
      </c>
      <c r="E279">
        <v>21</v>
      </c>
    </row>
    <row r="280" spans="2:30" hidden="1" x14ac:dyDescent="0.35">
      <c r="B280" s="23">
        <v>19</v>
      </c>
      <c r="D280" t="s">
        <v>238</v>
      </c>
      <c r="E280">
        <v>22</v>
      </c>
    </row>
    <row r="281" spans="2:30" hidden="1" x14ac:dyDescent="0.35">
      <c r="B281" s="23">
        <v>20</v>
      </c>
      <c r="D281" t="s">
        <v>239</v>
      </c>
      <c r="E281">
        <v>15</v>
      </c>
    </row>
    <row r="282" spans="2:30" hidden="1" x14ac:dyDescent="0.35">
      <c r="B282" s="23">
        <v>21</v>
      </c>
      <c r="D282" t="s">
        <v>240</v>
      </c>
      <c r="E282">
        <v>23</v>
      </c>
    </row>
    <row r="283" spans="2:30" hidden="1" x14ac:dyDescent="0.35">
      <c r="B283" s="23">
        <v>22</v>
      </c>
      <c r="D283" t="s">
        <v>241</v>
      </c>
      <c r="E283">
        <v>13</v>
      </c>
    </row>
    <row r="284" spans="2:30" hidden="1" x14ac:dyDescent="0.35">
      <c r="B284" s="23">
        <v>23</v>
      </c>
      <c r="D284" t="s">
        <v>242</v>
      </c>
      <c r="E284">
        <v>4</v>
      </c>
    </row>
    <row r="285" spans="2:30" hidden="1" x14ac:dyDescent="0.35">
      <c r="B285" s="23">
        <v>24</v>
      </c>
      <c r="D285" t="s">
        <v>243</v>
      </c>
      <c r="E285">
        <v>6</v>
      </c>
    </row>
    <row r="286" spans="2:30" ht="15" hidden="1" x14ac:dyDescent="0.25">
      <c r="B286" s="23">
        <v>25</v>
      </c>
      <c r="C286" s="23"/>
      <c r="D286" s="23" t="s">
        <v>244</v>
      </c>
      <c r="E286" s="23">
        <v>7</v>
      </c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2:30" ht="15" hidden="1" x14ac:dyDescent="0.25">
      <c r="B287" s="23">
        <v>26</v>
      </c>
      <c r="C287" s="23"/>
      <c r="D287" s="23" t="s">
        <v>245</v>
      </c>
      <c r="E287" s="23">
        <v>8</v>
      </c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2:30" ht="15" hidden="1" x14ac:dyDescent="0.25">
      <c r="B288" s="23"/>
      <c r="C288" s="23"/>
      <c r="D288" s="23" t="s">
        <v>246</v>
      </c>
      <c r="E288" s="23">
        <v>5</v>
      </c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2:30" ht="15" hidden="1" x14ac:dyDescent="0.25"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2:30" ht="15" hidden="1" x14ac:dyDescent="0.25"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2:30" ht="15" hidden="1" x14ac:dyDescent="0.25"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2:30" ht="15" hidden="1" x14ac:dyDescent="0.25"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2:30" ht="15" hidden="1" x14ac:dyDescent="0.25"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2:30" ht="15" hidden="1" x14ac:dyDescent="0.25"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2:30" ht="15" hidden="1" x14ac:dyDescent="0.25"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2:30" ht="15" hidden="1" x14ac:dyDescent="0.25"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2:30" ht="15" hidden="1" x14ac:dyDescent="0.25"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2:30" ht="15" hidden="1" x14ac:dyDescent="0.25"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2:30" ht="15" hidden="1" x14ac:dyDescent="0.25"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2:30" ht="15" hidden="1" x14ac:dyDescent="0.25"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2:30" ht="15" hidden="1" x14ac:dyDescent="0.25"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2:30" ht="15" hidden="1" x14ac:dyDescent="0.25"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2:30" ht="15" hidden="1" x14ac:dyDescent="0.25"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2:30" ht="15" hidden="1" x14ac:dyDescent="0.25"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2:30" ht="15" hidden="1" x14ac:dyDescent="0.25"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2:30" ht="15" hidden="1" x14ac:dyDescent="0.25"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2:30" ht="15" hidden="1" x14ac:dyDescent="0.25"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2:30" ht="15" hidden="1" x14ac:dyDescent="0.25"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2:30" ht="15" hidden="1" x14ac:dyDescent="0.25"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2:30" ht="15" hidden="1" x14ac:dyDescent="0.25"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2:30" ht="15" hidden="1" x14ac:dyDescent="0.25"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2:30" ht="15" hidden="1" x14ac:dyDescent="0.25"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2:30" ht="15" hidden="1" x14ac:dyDescent="0.25"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2:30" ht="15" hidden="1" x14ac:dyDescent="0.25"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2:30" ht="15" hidden="1" x14ac:dyDescent="0.25"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2:30" ht="15" hidden="1" x14ac:dyDescent="0.25"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2:30" ht="15" hidden="1" x14ac:dyDescent="0.25"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2:30" ht="15" hidden="1" x14ac:dyDescent="0.25"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2:30" ht="15" hidden="1" x14ac:dyDescent="0.25"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2:30" ht="15" hidden="1" x14ac:dyDescent="0.25"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2:30" ht="15" hidden="1" x14ac:dyDescent="0.25"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2:30" ht="15" hidden="1" x14ac:dyDescent="0.25"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2:30" ht="15" hidden="1" x14ac:dyDescent="0.25"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2:30" ht="15" hidden="1" x14ac:dyDescent="0.25"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2:30" ht="15" hidden="1" x14ac:dyDescent="0.25"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2:30" ht="15" hidden="1" x14ac:dyDescent="0.25"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2:30" ht="15" hidden="1" x14ac:dyDescent="0.25"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2:30" ht="15" hidden="1" x14ac:dyDescent="0.25"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2:30" ht="15" hidden="1" x14ac:dyDescent="0.25"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2:30" ht="15" hidden="1" x14ac:dyDescent="0.25"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2:30" ht="15" hidden="1" x14ac:dyDescent="0.25"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2:30" ht="15" hidden="1" x14ac:dyDescent="0.25"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2:30" ht="15" hidden="1" x14ac:dyDescent="0.25"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2:30" ht="15" hidden="1" x14ac:dyDescent="0.25"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2:30" ht="15" hidden="1" x14ac:dyDescent="0.25"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2:30" ht="15" hidden="1" x14ac:dyDescent="0.25"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2:30" ht="15" hidden="1" x14ac:dyDescent="0.25"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2:30" ht="15" hidden="1" x14ac:dyDescent="0.25"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2:30" ht="15" hidden="1" x14ac:dyDescent="0.25"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2:30" ht="15" hidden="1" x14ac:dyDescent="0.25"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2:30" ht="15" hidden="1" x14ac:dyDescent="0.25"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2:30" ht="15" hidden="1" x14ac:dyDescent="0.25"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2:30" ht="15" hidden="1" x14ac:dyDescent="0.25"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2:30" ht="15" hidden="1" x14ac:dyDescent="0.25"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2:30" ht="15" hidden="1" x14ac:dyDescent="0.25"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2:30" ht="15" hidden="1" x14ac:dyDescent="0.25"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2:30" ht="15" hidden="1" x14ac:dyDescent="0.25"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2:30" ht="15" hidden="1" x14ac:dyDescent="0.25"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2:30" ht="15" hidden="1" x14ac:dyDescent="0.25"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2:30" ht="15" hidden="1" x14ac:dyDescent="0.25"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2:30" ht="15" hidden="1" x14ac:dyDescent="0.25"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2:30" ht="15" hidden="1" x14ac:dyDescent="0.25"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2:30" ht="15" hidden="1" x14ac:dyDescent="0.25"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2:30" ht="15" hidden="1" x14ac:dyDescent="0.25"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2:30" ht="15" hidden="1" x14ac:dyDescent="0.25"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2:30" ht="15" hidden="1" x14ac:dyDescent="0.25"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2:30" ht="15" hidden="1" x14ac:dyDescent="0.25"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2:30" ht="15" hidden="1" x14ac:dyDescent="0.25"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2:30" ht="15" hidden="1" x14ac:dyDescent="0.25"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2:30" ht="15" hidden="1" x14ac:dyDescent="0.25"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2:30" ht="15" hidden="1" x14ac:dyDescent="0.25"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2:30" ht="15" hidden="1" x14ac:dyDescent="0.25"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2:30" ht="15" hidden="1" x14ac:dyDescent="0.25"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2:30" ht="15" hidden="1" x14ac:dyDescent="0.25"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2:30" ht="15" hidden="1" x14ac:dyDescent="0.25"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2:30" ht="15" hidden="1" x14ac:dyDescent="0.25"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2:30" ht="15" hidden="1" x14ac:dyDescent="0.25"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2:30" ht="15" hidden="1" x14ac:dyDescent="0.25"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2:30" ht="15" hidden="1" x14ac:dyDescent="0.25"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2:30" ht="15" hidden="1" x14ac:dyDescent="0.25"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2:30" ht="15" hidden="1" x14ac:dyDescent="0.25"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2:30" ht="15" hidden="1" x14ac:dyDescent="0.25"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2:30" ht="15" hidden="1" x14ac:dyDescent="0.25"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2:30" ht="15" hidden="1" x14ac:dyDescent="0.25"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2:30" ht="15" hidden="1" x14ac:dyDescent="0.25"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2:30" ht="15" hidden="1" x14ac:dyDescent="0.25"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2:30" ht="15" hidden="1" x14ac:dyDescent="0.25"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2:30" ht="15" hidden="1" x14ac:dyDescent="0.25"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2:30" ht="15" hidden="1" x14ac:dyDescent="0.25"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2:30" ht="15" hidden="1" x14ac:dyDescent="0.25"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2:30" ht="15" hidden="1" x14ac:dyDescent="0.25"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2:30" ht="15" hidden="1" x14ac:dyDescent="0.25"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2:30" ht="15" hidden="1" x14ac:dyDescent="0.25"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2:30" ht="15" hidden="1" x14ac:dyDescent="0.25"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2:30" ht="15" hidden="1" x14ac:dyDescent="0.25"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2:30" ht="15" hidden="1" x14ac:dyDescent="0.25"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2:30" ht="15" hidden="1" x14ac:dyDescent="0.25"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2:30" ht="15" hidden="1" x14ac:dyDescent="0.25"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2:30" ht="15" hidden="1" x14ac:dyDescent="0.25"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2:30" ht="15" hidden="1" x14ac:dyDescent="0.25"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2:30" ht="15" hidden="1" x14ac:dyDescent="0.25"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2:30" ht="15" hidden="1" x14ac:dyDescent="0.25"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2:30" ht="15" hidden="1" x14ac:dyDescent="0.25"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2:30" ht="15" hidden="1" x14ac:dyDescent="0.25"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2:30" ht="15" hidden="1" x14ac:dyDescent="0.25"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2:30" ht="15" hidden="1" x14ac:dyDescent="0.25"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2:30" ht="15" hidden="1" x14ac:dyDescent="0.25"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2:30" ht="15" hidden="1" x14ac:dyDescent="0.25"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2:30" ht="15" hidden="1" x14ac:dyDescent="0.25"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2:30" ht="15" hidden="1" x14ac:dyDescent="0.25"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2:30" ht="15" hidden="1" x14ac:dyDescent="0.25"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2:30" ht="15" hidden="1" x14ac:dyDescent="0.25"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2:30" ht="15" hidden="1" x14ac:dyDescent="0.25"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2:30" ht="15" hidden="1" x14ac:dyDescent="0.25"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2:30" ht="15" hidden="1" x14ac:dyDescent="0.25"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2:30" ht="15" hidden="1" x14ac:dyDescent="0.25"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2:30" ht="15" hidden="1" x14ac:dyDescent="0.25"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2:30" ht="15" hidden="1" x14ac:dyDescent="0.25">
      <c r="B408" s="29" t="s">
        <v>137</v>
      </c>
      <c r="C408" s="29" t="s">
        <v>115</v>
      </c>
      <c r="D408" s="29"/>
      <c r="E408" s="29" t="s">
        <v>138</v>
      </c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2:30" ht="15" hidden="1" x14ac:dyDescent="0.25">
      <c r="B409" s="30">
        <v>1</v>
      </c>
      <c r="C409" s="31" t="s">
        <v>116</v>
      </c>
      <c r="D409" s="30">
        <v>15</v>
      </c>
      <c r="E409" s="30"/>
      <c r="F409" s="30"/>
      <c r="G409" s="30"/>
      <c r="H409" s="30"/>
      <c r="I409" s="30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2:30" ht="15" hidden="1" x14ac:dyDescent="0.25">
      <c r="B410" s="30">
        <v>4</v>
      </c>
      <c r="C410" s="31" t="s">
        <v>75</v>
      </c>
      <c r="D410" s="30">
        <v>7</v>
      </c>
      <c r="E410" s="30">
        <v>9</v>
      </c>
      <c r="F410" s="30">
        <v>19</v>
      </c>
      <c r="G410" s="30">
        <v>20</v>
      </c>
      <c r="H410" s="30"/>
      <c r="I410" s="30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2:30" ht="15" hidden="1" x14ac:dyDescent="0.25">
      <c r="B411" s="30">
        <v>1</v>
      </c>
      <c r="C411" s="31" t="s">
        <v>117</v>
      </c>
      <c r="D411" s="30">
        <v>16</v>
      </c>
      <c r="E411" s="30"/>
      <c r="F411" s="30"/>
      <c r="G411" s="30"/>
      <c r="H411" s="30"/>
      <c r="I411" s="30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2:30" ht="15" hidden="1" x14ac:dyDescent="0.25">
      <c r="B412" s="30">
        <v>3</v>
      </c>
      <c r="C412" s="31" t="s">
        <v>118</v>
      </c>
      <c r="D412" s="30">
        <v>5</v>
      </c>
      <c r="E412" s="30">
        <v>6</v>
      </c>
      <c r="F412" s="30">
        <v>16</v>
      </c>
      <c r="G412" s="30"/>
      <c r="H412" s="30"/>
      <c r="I412" s="30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2:30" ht="15" hidden="1" x14ac:dyDescent="0.25">
      <c r="B413" s="30">
        <v>6</v>
      </c>
      <c r="C413" s="31" t="s">
        <v>83</v>
      </c>
      <c r="D413" s="30">
        <v>4</v>
      </c>
      <c r="E413" s="30">
        <v>6</v>
      </c>
      <c r="F413" s="30">
        <v>8</v>
      </c>
      <c r="G413" s="30">
        <v>10</v>
      </c>
      <c r="H413" s="30">
        <v>17</v>
      </c>
      <c r="I413" s="30">
        <v>28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2:30" ht="15" hidden="1" x14ac:dyDescent="0.25">
      <c r="B414" s="30">
        <v>2</v>
      </c>
      <c r="C414" s="31" t="s">
        <v>79</v>
      </c>
      <c r="D414" s="30">
        <v>7</v>
      </c>
      <c r="E414" s="30">
        <v>11</v>
      </c>
      <c r="F414" s="30"/>
      <c r="G414" s="30"/>
      <c r="H414" s="30"/>
      <c r="I414" s="30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2:30" ht="15" hidden="1" x14ac:dyDescent="0.25">
      <c r="B415" s="30">
        <v>4</v>
      </c>
      <c r="C415" s="31" t="s">
        <v>73</v>
      </c>
      <c r="D415" s="30">
        <v>8</v>
      </c>
      <c r="E415" s="30">
        <v>13</v>
      </c>
      <c r="F415" s="30">
        <v>18</v>
      </c>
      <c r="G415" s="30">
        <v>22</v>
      </c>
      <c r="H415" s="30"/>
      <c r="I415" s="30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2:30" ht="15" hidden="1" x14ac:dyDescent="0.25">
      <c r="B416" s="30"/>
      <c r="C416" s="31"/>
      <c r="D416" s="30"/>
      <c r="E416" s="30"/>
      <c r="F416" s="30"/>
      <c r="G416" s="30"/>
      <c r="H416" s="30"/>
      <c r="I416" s="30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2:30" ht="15" hidden="1" x14ac:dyDescent="0.25">
      <c r="B417" s="30">
        <v>3</v>
      </c>
      <c r="C417" s="31" t="s">
        <v>77</v>
      </c>
      <c r="D417" s="30">
        <v>8</v>
      </c>
      <c r="E417" s="30">
        <v>11</v>
      </c>
      <c r="F417" s="30">
        <v>23</v>
      </c>
      <c r="G417" s="30"/>
      <c r="H417" s="30"/>
      <c r="I417" s="30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2:30" ht="15" hidden="1" x14ac:dyDescent="0.25">
      <c r="B418" s="30"/>
      <c r="C418" s="31" t="s">
        <v>120</v>
      </c>
      <c r="D418" s="30"/>
      <c r="E418" s="30"/>
      <c r="F418" s="30"/>
      <c r="G418" s="30"/>
      <c r="H418" s="30"/>
      <c r="I418" s="30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2:30" ht="15" hidden="1" x14ac:dyDescent="0.25">
      <c r="B419" s="30">
        <v>1</v>
      </c>
      <c r="C419" s="31" t="s">
        <v>74</v>
      </c>
      <c r="D419" s="30">
        <v>15</v>
      </c>
      <c r="E419" s="30"/>
      <c r="F419" s="30"/>
      <c r="G419" s="30"/>
      <c r="H419" s="30"/>
      <c r="I419" s="30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2:30" ht="15" hidden="1" x14ac:dyDescent="0.25">
      <c r="B420" s="30">
        <v>0</v>
      </c>
      <c r="C420" s="31" t="s">
        <v>76</v>
      </c>
      <c r="D420" s="30"/>
      <c r="E420" s="30"/>
      <c r="F420" s="30"/>
      <c r="G420" s="30"/>
      <c r="H420" s="30"/>
      <c r="I420" s="30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2:30" ht="15" hidden="1" x14ac:dyDescent="0.25">
      <c r="B421" s="30">
        <v>0</v>
      </c>
      <c r="C421" s="31" t="s">
        <v>119</v>
      </c>
      <c r="D421" s="30"/>
      <c r="E421" s="30"/>
      <c r="F421" s="30"/>
      <c r="G421" s="30"/>
      <c r="H421" s="30"/>
      <c r="I421" s="30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2:30" ht="15" hidden="1" x14ac:dyDescent="0.25">
      <c r="B422" s="30"/>
      <c r="C422" s="31"/>
      <c r="D422" s="30"/>
      <c r="E422" s="30"/>
      <c r="F422" s="30"/>
      <c r="G422" s="30"/>
      <c r="H422" s="30"/>
      <c r="I422" s="30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2:30" ht="15" hidden="1" x14ac:dyDescent="0.25">
      <c r="B423" s="30">
        <v>5</v>
      </c>
      <c r="C423" s="31" t="s">
        <v>69</v>
      </c>
      <c r="D423" s="30">
        <v>1</v>
      </c>
      <c r="E423" s="30">
        <v>4</v>
      </c>
      <c r="F423" s="30">
        <v>7</v>
      </c>
      <c r="G423" s="30">
        <v>9</v>
      </c>
      <c r="H423" s="30">
        <v>16</v>
      </c>
      <c r="I423" s="30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2:30" ht="15" hidden="1" x14ac:dyDescent="0.25">
      <c r="B424" s="30">
        <v>4</v>
      </c>
      <c r="C424" s="31" t="s">
        <v>190</v>
      </c>
      <c r="D424" s="30">
        <v>3</v>
      </c>
      <c r="E424" s="30">
        <v>5</v>
      </c>
      <c r="F424" s="30">
        <v>11</v>
      </c>
      <c r="G424" s="30">
        <v>26</v>
      </c>
      <c r="H424" s="30"/>
      <c r="I424" s="30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2:30" ht="15" hidden="1" x14ac:dyDescent="0.25">
      <c r="B425" s="30">
        <v>6</v>
      </c>
      <c r="C425" s="31" t="s">
        <v>72</v>
      </c>
      <c r="D425" s="30">
        <v>2</v>
      </c>
      <c r="E425" s="30">
        <v>5</v>
      </c>
      <c r="F425" s="30">
        <v>7</v>
      </c>
      <c r="G425" s="30">
        <v>10</v>
      </c>
      <c r="H425" s="30">
        <v>17</v>
      </c>
      <c r="I425" s="30">
        <v>28</v>
      </c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2:30" ht="15" hidden="1" x14ac:dyDescent="0.25">
      <c r="B426" s="30">
        <v>6</v>
      </c>
      <c r="C426" s="31" t="s">
        <v>71</v>
      </c>
      <c r="D426" s="30">
        <v>1</v>
      </c>
      <c r="E426" s="30">
        <v>4</v>
      </c>
      <c r="F426" s="30">
        <v>8</v>
      </c>
      <c r="G426" s="30">
        <v>9</v>
      </c>
      <c r="H426" s="30">
        <v>24</v>
      </c>
      <c r="I426" s="30">
        <v>25</v>
      </c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2:30" ht="15" hidden="1" x14ac:dyDescent="0.25">
      <c r="B427" s="30">
        <v>4</v>
      </c>
      <c r="C427" s="31" t="s">
        <v>70</v>
      </c>
      <c r="D427" s="30">
        <v>3</v>
      </c>
      <c r="E427" s="30">
        <v>5</v>
      </c>
      <c r="F427" s="30">
        <v>11</v>
      </c>
      <c r="G427" s="30">
        <v>16</v>
      </c>
      <c r="H427" s="30"/>
      <c r="I427" s="30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2:30" ht="15" hidden="1" x14ac:dyDescent="0.25">
      <c r="B428" s="30">
        <v>3</v>
      </c>
      <c r="C428" s="31" t="s">
        <v>82</v>
      </c>
      <c r="D428" s="30">
        <v>7</v>
      </c>
      <c r="E428" s="30">
        <v>12</v>
      </c>
      <c r="F428" s="30">
        <v>27</v>
      </c>
      <c r="G428" s="30"/>
      <c r="H428" s="30"/>
      <c r="I428" s="30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2:30" ht="15" hidden="1" x14ac:dyDescent="0.25">
      <c r="B429" s="30">
        <v>3</v>
      </c>
      <c r="C429" s="31" t="s">
        <v>80</v>
      </c>
      <c r="D429" s="30">
        <v>14</v>
      </c>
      <c r="E429" s="30">
        <v>18</v>
      </c>
      <c r="F429" s="30">
        <v>19</v>
      </c>
      <c r="G429" s="30"/>
      <c r="H429" s="30"/>
      <c r="I429" s="30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2:30" ht="15" hidden="1" x14ac:dyDescent="0.25">
      <c r="B430" s="30">
        <v>3</v>
      </c>
      <c r="C430" s="31" t="s">
        <v>81</v>
      </c>
      <c r="D430" s="30">
        <v>1</v>
      </c>
      <c r="E430" s="30">
        <v>5</v>
      </c>
      <c r="F430" s="30">
        <v>9</v>
      </c>
      <c r="G430" s="30"/>
      <c r="H430" s="30"/>
      <c r="I430" s="30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2:30" ht="15" hidden="1" x14ac:dyDescent="0.25">
      <c r="B431" s="30"/>
      <c r="C431" s="31"/>
      <c r="D431" s="30"/>
      <c r="E431" s="30"/>
      <c r="F431" s="30"/>
      <c r="G431" s="30"/>
      <c r="H431" s="30"/>
      <c r="I431" s="30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2:30" ht="15" hidden="1" x14ac:dyDescent="0.25">
      <c r="B432" s="30">
        <v>4</v>
      </c>
      <c r="C432" s="31" t="s">
        <v>100</v>
      </c>
      <c r="D432" s="30">
        <v>12</v>
      </c>
      <c r="E432" s="30">
        <v>20</v>
      </c>
      <c r="F432" s="30">
        <v>21</v>
      </c>
      <c r="G432" s="30">
        <v>22</v>
      </c>
      <c r="H432" s="30"/>
      <c r="I432" s="30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2:30" ht="15" hidden="1" x14ac:dyDescent="0.25">
      <c r="B433" s="30">
        <v>4</v>
      </c>
      <c r="C433" s="31" t="s">
        <v>99</v>
      </c>
      <c r="D433" s="30">
        <v>4</v>
      </c>
      <c r="E433" s="30">
        <v>18</v>
      </c>
      <c r="F433" s="30">
        <v>19</v>
      </c>
      <c r="G433" s="30">
        <v>21</v>
      </c>
      <c r="H433" s="30"/>
      <c r="I433" s="30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2:30" ht="15" hidden="1" x14ac:dyDescent="0.25">
      <c r="B434" s="30">
        <v>0</v>
      </c>
      <c r="C434" s="31" t="s">
        <v>125</v>
      </c>
      <c r="D434" s="30"/>
      <c r="E434" s="30"/>
      <c r="F434" s="30"/>
      <c r="G434" s="30"/>
      <c r="H434" s="30"/>
      <c r="I434" s="30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2:30" ht="15" hidden="1" x14ac:dyDescent="0.25">
      <c r="B435" s="23">
        <v>6</v>
      </c>
      <c r="C435" s="23" t="s">
        <v>161</v>
      </c>
      <c r="D435" s="23">
        <v>2</v>
      </c>
      <c r="E435" s="23">
        <v>4</v>
      </c>
      <c r="F435" s="23">
        <v>8</v>
      </c>
      <c r="G435" s="23">
        <v>10</v>
      </c>
      <c r="H435" s="23">
        <v>17</v>
      </c>
      <c r="I435" s="23">
        <v>28</v>
      </c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2:30" ht="15" hidden="1" x14ac:dyDescent="0.25"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2:30" ht="15" hidden="1" x14ac:dyDescent="0.25"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2:30" ht="15" hidden="1" x14ac:dyDescent="0.25"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2:30" ht="15" hidden="1" x14ac:dyDescent="0.25"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2:30" ht="15" hidden="1" x14ac:dyDescent="0.25"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2:30" ht="15" hidden="1" x14ac:dyDescent="0.25"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2:30" ht="15" hidden="1" x14ac:dyDescent="0.25"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2:30" ht="15" hidden="1" x14ac:dyDescent="0.25"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2:30" ht="15" hidden="1" x14ac:dyDescent="0.25"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2:30" ht="15" hidden="1" x14ac:dyDescent="0.25"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2:30" ht="15" hidden="1" x14ac:dyDescent="0.25"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2:30" ht="15" hidden="1" x14ac:dyDescent="0.25"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2:30" ht="15" hidden="1" x14ac:dyDescent="0.25"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2:30" ht="15" hidden="1" x14ac:dyDescent="0.25"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2:30" ht="15" hidden="1" x14ac:dyDescent="0.25"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2:30" ht="15" hidden="1" x14ac:dyDescent="0.25"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2:30" ht="15" hidden="1" x14ac:dyDescent="0.25"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2:30" ht="15" hidden="1" x14ac:dyDescent="0.25"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2:30" ht="15" hidden="1" x14ac:dyDescent="0.25"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2:30" ht="15" hidden="1" x14ac:dyDescent="0.25"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2:30" ht="15" hidden="1" x14ac:dyDescent="0.25"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2:30" ht="15" hidden="1" x14ac:dyDescent="0.25"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2:30" ht="15" hidden="1" x14ac:dyDescent="0.25"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2:30" ht="15" hidden="1" x14ac:dyDescent="0.25"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2:30" ht="15" hidden="1" x14ac:dyDescent="0.25"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2:30" ht="15" hidden="1" x14ac:dyDescent="0.25"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2:30" ht="15" hidden="1" x14ac:dyDescent="0.25"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2:30" ht="15" hidden="1" x14ac:dyDescent="0.25"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2:30" ht="15" hidden="1" x14ac:dyDescent="0.25"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2:30" ht="15" hidden="1" x14ac:dyDescent="0.25"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2:30" ht="15" hidden="1" x14ac:dyDescent="0.25"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2:30" ht="15" hidden="1" x14ac:dyDescent="0.25"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2:30" ht="15" hidden="1" x14ac:dyDescent="0.25"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2:30" ht="15" hidden="1" x14ac:dyDescent="0.25"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2:30" ht="15" hidden="1" x14ac:dyDescent="0.25"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2:30" ht="15" hidden="1" x14ac:dyDescent="0.25"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2:30" ht="15" hidden="1" x14ac:dyDescent="0.25"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2:30" ht="15" hidden="1" x14ac:dyDescent="0.25"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2:30" ht="15" hidden="1" x14ac:dyDescent="0.25"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2:30" ht="15" hidden="1" x14ac:dyDescent="0.25"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2:30" ht="15" hidden="1" x14ac:dyDescent="0.25"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2:30" ht="15" hidden="1" x14ac:dyDescent="0.25"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2:30" ht="15" hidden="1" x14ac:dyDescent="0.25"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2:30" ht="15" hidden="1" x14ac:dyDescent="0.25"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2:30" ht="15" hidden="1" x14ac:dyDescent="0.25"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2:30" ht="15" hidden="1" x14ac:dyDescent="0.25"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2:30" ht="15" hidden="1" x14ac:dyDescent="0.25"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2:30" ht="15" hidden="1" x14ac:dyDescent="0.25"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2:30" ht="15" hidden="1" x14ac:dyDescent="0.25"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2:30" ht="15" hidden="1" x14ac:dyDescent="0.25"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2:30" ht="15" hidden="1" x14ac:dyDescent="0.25"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2:30" ht="15" hidden="1" x14ac:dyDescent="0.25"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2:30" ht="15" hidden="1" x14ac:dyDescent="0.25"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2:30" ht="15" hidden="1" x14ac:dyDescent="0.25"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2:30" ht="15" hidden="1" x14ac:dyDescent="0.25"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2:30" ht="15" hidden="1" x14ac:dyDescent="0.25"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2:30" ht="15" hidden="1" x14ac:dyDescent="0.25"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2:30" ht="15" hidden="1" x14ac:dyDescent="0.25"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2:30" ht="15" hidden="1" x14ac:dyDescent="0.25"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2:30" ht="15" hidden="1" x14ac:dyDescent="0.25"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2:30" ht="15" hidden="1" x14ac:dyDescent="0.25"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2:30" ht="15" hidden="1" x14ac:dyDescent="0.25"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2:30" ht="15" hidden="1" x14ac:dyDescent="0.25"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2:30" ht="15" hidden="1" x14ac:dyDescent="0.25"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2:30" ht="15" hidden="1" x14ac:dyDescent="0.25"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2:30" ht="15" hidden="1" x14ac:dyDescent="0.25"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2:30" ht="15" hidden="1" x14ac:dyDescent="0.25"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2:30" ht="15" hidden="1" x14ac:dyDescent="0.25"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2:30" ht="15" hidden="1" x14ac:dyDescent="0.25"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2:30" ht="15" hidden="1" x14ac:dyDescent="0.25"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2:30" ht="15" hidden="1" x14ac:dyDescent="0.25"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2:30" ht="15" hidden="1" x14ac:dyDescent="0.25"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2:30" ht="15" hidden="1" x14ac:dyDescent="0.25"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2:30" ht="15" hidden="1" x14ac:dyDescent="0.25"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2:30" ht="15" hidden="1" x14ac:dyDescent="0.25"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2:30" ht="15" hidden="1" x14ac:dyDescent="0.25"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2:30" ht="15" hidden="1" x14ac:dyDescent="0.25"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2:30" ht="15" hidden="1" x14ac:dyDescent="0.25"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2:30" ht="15" hidden="1" x14ac:dyDescent="0.25"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2:30" ht="15" hidden="1" x14ac:dyDescent="0.25"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2:30" ht="15" hidden="1" x14ac:dyDescent="0.25"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2:30" ht="15" hidden="1" x14ac:dyDescent="0.25"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2:30" ht="15" hidden="1" x14ac:dyDescent="0.25"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2:30" ht="15" hidden="1" x14ac:dyDescent="0.25"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2:30" ht="15" hidden="1" x14ac:dyDescent="0.25"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2:30" ht="15" hidden="1" x14ac:dyDescent="0.25"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2:30" ht="15" hidden="1" x14ac:dyDescent="0.25"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2:30" ht="15" hidden="1" x14ac:dyDescent="0.25"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2:30" ht="15" hidden="1" x14ac:dyDescent="0.25"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2:30" ht="15" hidden="1" x14ac:dyDescent="0.25"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2:30" ht="15" hidden="1" x14ac:dyDescent="0.25"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2:30" ht="15" hidden="1" x14ac:dyDescent="0.25"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2:30" ht="15" hidden="1" x14ac:dyDescent="0.25"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2:30" ht="15" hidden="1" x14ac:dyDescent="0.25"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2:30" ht="15" hidden="1" x14ac:dyDescent="0.25"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2:30" ht="15" hidden="1" x14ac:dyDescent="0.25"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2:30" ht="15" hidden="1" x14ac:dyDescent="0.25"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2:30" ht="15" hidden="1" x14ac:dyDescent="0.25"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2:30" ht="15" hidden="1" x14ac:dyDescent="0.25"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2:30" ht="15" hidden="1" x14ac:dyDescent="0.25"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2:30" ht="15" hidden="1" x14ac:dyDescent="0.25"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2:30" ht="15" hidden="1" x14ac:dyDescent="0.25"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2:30" ht="15" hidden="1" x14ac:dyDescent="0.25"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2:30" ht="15" hidden="1" x14ac:dyDescent="0.25"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2:30" ht="15" hidden="1" x14ac:dyDescent="0.25"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2:30" ht="15" hidden="1" x14ac:dyDescent="0.25"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2:30" ht="15" hidden="1" x14ac:dyDescent="0.25"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2:30" ht="15" hidden="1" x14ac:dyDescent="0.25"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2:30" ht="15" hidden="1" x14ac:dyDescent="0.25"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2:30" ht="15" hidden="1" x14ac:dyDescent="0.25"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2:30" ht="15" hidden="1" x14ac:dyDescent="0.25"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2:30" ht="15" hidden="1" x14ac:dyDescent="0.25"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2:30" ht="15" hidden="1" x14ac:dyDescent="0.25"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2:30" ht="15" hidden="1" x14ac:dyDescent="0.25"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2:30" ht="15" hidden="1" x14ac:dyDescent="0.25"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2:30" ht="15" hidden="1" x14ac:dyDescent="0.25"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2:30" ht="15" hidden="1" x14ac:dyDescent="0.25"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2:30" ht="15" hidden="1" x14ac:dyDescent="0.25"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2:30" ht="15" hidden="1" x14ac:dyDescent="0.25"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2:30" ht="15" hidden="1" x14ac:dyDescent="0.25"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2:30" ht="15" hidden="1" x14ac:dyDescent="0.25"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2:30" ht="15" hidden="1" x14ac:dyDescent="0.25"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2:30" ht="15" hidden="1" x14ac:dyDescent="0.25"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2:30" ht="15" hidden="1" x14ac:dyDescent="0.25"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2:30" ht="15" hidden="1" x14ac:dyDescent="0.25"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2:30" ht="15" hidden="1" x14ac:dyDescent="0.25"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2:30" ht="15" hidden="1" x14ac:dyDescent="0.25"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2:30" ht="15" hidden="1" x14ac:dyDescent="0.25"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2:30" ht="15" hidden="1" x14ac:dyDescent="0.25"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2:30" ht="15" hidden="1" x14ac:dyDescent="0.25"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2:30" ht="15" hidden="1" x14ac:dyDescent="0.25"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2:30" ht="15" hidden="1" x14ac:dyDescent="0.25"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2:30" ht="15" hidden="1" x14ac:dyDescent="0.25"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2:30" ht="15" hidden="1" x14ac:dyDescent="0.25"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2:30" ht="15" hidden="1" x14ac:dyDescent="0.25"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2:30" ht="15" hidden="1" x14ac:dyDescent="0.25"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2:30" ht="15" hidden="1" x14ac:dyDescent="0.25"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2:30" ht="15" hidden="1" x14ac:dyDescent="0.25"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2:30" ht="15" hidden="1" x14ac:dyDescent="0.25"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2:30" ht="15" hidden="1" x14ac:dyDescent="0.25"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2:30" ht="15" hidden="1" x14ac:dyDescent="0.25"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2:30" ht="15" hidden="1" x14ac:dyDescent="0.25"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2:30" ht="15" hidden="1" x14ac:dyDescent="0.25"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2:30" ht="15" hidden="1" x14ac:dyDescent="0.25"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2:30" ht="15" hidden="1" x14ac:dyDescent="0.25"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2:30" ht="15" hidden="1" x14ac:dyDescent="0.25"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2:30" ht="15" hidden="1" x14ac:dyDescent="0.25"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2:30" ht="15" hidden="1" x14ac:dyDescent="0.25"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2:30" ht="15" hidden="1" x14ac:dyDescent="0.25"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2:30" ht="15" hidden="1" x14ac:dyDescent="0.25"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2:30" ht="15" hidden="1" x14ac:dyDescent="0.25"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2:30" ht="15" hidden="1" x14ac:dyDescent="0.25"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2:30" ht="15" hidden="1" x14ac:dyDescent="0.25"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2:30" ht="15" hidden="1" x14ac:dyDescent="0.25"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2:30" ht="15" hidden="1" x14ac:dyDescent="0.25"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2:30" ht="15" hidden="1" x14ac:dyDescent="0.25"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2:30" ht="15" hidden="1" x14ac:dyDescent="0.25"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2:30" ht="15" hidden="1" x14ac:dyDescent="0.25"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2:30" ht="15" hidden="1" x14ac:dyDescent="0.25"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2:30" ht="15" hidden="1" x14ac:dyDescent="0.25"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2:30" ht="15" hidden="1" x14ac:dyDescent="0.25"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2:30" ht="15" hidden="1" x14ac:dyDescent="0.25"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2:30" ht="15" hidden="1" x14ac:dyDescent="0.25"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2:30" ht="15" hidden="1" x14ac:dyDescent="0.25"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2:30" x14ac:dyDescent="0.35"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2:30" x14ac:dyDescent="0.35"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2:30" x14ac:dyDescent="0.35"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2:30" x14ac:dyDescent="0.35"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</sheetData>
  <mergeCells count="10">
    <mergeCell ref="U214:V214"/>
    <mergeCell ref="W214:X214"/>
    <mergeCell ref="Y214:Z214"/>
    <mergeCell ref="S214:T214"/>
    <mergeCell ref="E214:F214"/>
    <mergeCell ref="G214:H214"/>
    <mergeCell ref="I214:J214"/>
    <mergeCell ref="Q214:R214"/>
    <mergeCell ref="K214:M214"/>
    <mergeCell ref="N214:P214"/>
  </mergeCells>
  <pageMargins left="0.7" right="0.7" top="0.75" bottom="0.75" header="0.3" footer="0.3"/>
  <pageSetup paperSize="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PopulateTimeTableButton">
          <controlPr autoLine="0" r:id="rId5">
            <anchor moveWithCells="1">
              <from>
                <xdr:col>12</xdr:col>
                <xdr:colOff>0</xdr:colOff>
                <xdr:row>257</xdr:row>
                <xdr:rowOff>95250</xdr:rowOff>
              </from>
              <to>
                <xdr:col>16</xdr:col>
                <xdr:colOff>196850</xdr:colOff>
                <xdr:row>599</xdr:row>
                <xdr:rowOff>152400</xdr:rowOff>
              </to>
            </anchor>
          </controlPr>
        </control>
      </mc:Choice>
      <mc:Fallback>
        <control shapeId="1032" r:id="rId4" name="PopulateTimeTableButton"/>
      </mc:Fallback>
    </mc:AlternateContent>
    <mc:AlternateContent xmlns:mc="http://schemas.openxmlformats.org/markup-compatibility/2006">
      <mc:Choice Requires="x14">
        <control shapeId="1027" r:id="rId6" name="CheckLessonIDsButton">
          <controlPr defaultSize="0" autoLine="0" r:id="rId7">
            <anchor moveWithCells="1">
              <from>
                <xdr:col>2</xdr:col>
                <xdr:colOff>76200</xdr:colOff>
                <xdr:row>610</xdr:row>
                <xdr:rowOff>50800</xdr:rowOff>
              </from>
              <to>
                <xdr:col>5</xdr:col>
                <xdr:colOff>419100</xdr:colOff>
                <xdr:row>612</xdr:row>
                <xdr:rowOff>82550</xdr:rowOff>
              </to>
            </anchor>
          </controlPr>
        </control>
      </mc:Choice>
      <mc:Fallback>
        <control shapeId="1027" r:id="rId6" name="CheckLessonIDsButton"/>
      </mc:Fallback>
    </mc:AlternateContent>
  </controls>
  <tableParts count="6"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72"/>
  <sheetViews>
    <sheetView showGridLines="0" topLeftCell="I1" zoomScaleNormal="100" workbookViewId="0">
      <selection activeCell="Z5" sqref="Z5:Z32"/>
    </sheetView>
  </sheetViews>
  <sheetFormatPr defaultColWidth="7.54296875" defaultRowHeight="14.5" outlineLevelRow="1" x14ac:dyDescent="0.35"/>
  <cols>
    <col min="1" max="1" width="10.54296875" customWidth="1"/>
    <col min="2" max="25" width="6.54296875" customWidth="1"/>
    <col min="26" max="26" width="8.81640625" customWidth="1"/>
    <col min="27" max="29" width="6.54296875" customWidth="1"/>
  </cols>
  <sheetData>
    <row r="1" spans="1:28" ht="10" customHeight="1" x14ac:dyDescent="0.25">
      <c r="A1" s="28"/>
      <c r="B1" s="24">
        <v>1</v>
      </c>
      <c r="C1" s="24">
        <f t="shared" ref="C1:W1" si="0">B1+1</f>
        <v>2</v>
      </c>
      <c r="D1" s="24">
        <f t="shared" si="0"/>
        <v>3</v>
      </c>
      <c r="E1" s="24">
        <f t="shared" si="0"/>
        <v>4</v>
      </c>
      <c r="F1" s="24">
        <f t="shared" si="0"/>
        <v>5</v>
      </c>
      <c r="G1" s="24">
        <f t="shared" si="0"/>
        <v>6</v>
      </c>
      <c r="H1" s="24">
        <f t="shared" si="0"/>
        <v>7</v>
      </c>
      <c r="I1" s="24">
        <f t="shared" si="0"/>
        <v>8</v>
      </c>
      <c r="J1" s="24">
        <f t="shared" si="0"/>
        <v>9</v>
      </c>
      <c r="K1" s="24">
        <f t="shared" si="0"/>
        <v>10</v>
      </c>
      <c r="L1" s="24">
        <f t="shared" si="0"/>
        <v>11</v>
      </c>
      <c r="M1" s="24">
        <f t="shared" si="0"/>
        <v>12</v>
      </c>
      <c r="N1" s="24">
        <f t="shared" si="0"/>
        <v>13</v>
      </c>
      <c r="O1" s="24">
        <f t="shared" si="0"/>
        <v>14</v>
      </c>
      <c r="P1" s="24">
        <f t="shared" si="0"/>
        <v>15</v>
      </c>
      <c r="Q1" s="24">
        <f t="shared" si="0"/>
        <v>16</v>
      </c>
      <c r="R1" s="24">
        <f t="shared" si="0"/>
        <v>17</v>
      </c>
      <c r="S1" s="24">
        <f t="shared" si="0"/>
        <v>18</v>
      </c>
      <c r="T1" s="24">
        <f t="shared" si="0"/>
        <v>19</v>
      </c>
      <c r="U1" s="24">
        <f t="shared" si="0"/>
        <v>20</v>
      </c>
      <c r="V1" s="24">
        <f t="shared" si="0"/>
        <v>21</v>
      </c>
      <c r="W1" s="24">
        <f t="shared" si="0"/>
        <v>22</v>
      </c>
      <c r="X1" s="24">
        <v>23</v>
      </c>
      <c r="Y1" s="24">
        <v>24</v>
      </c>
      <c r="Z1" s="32"/>
      <c r="AA1" s="33"/>
      <c r="AB1" s="23"/>
    </row>
    <row r="2" spans="1:28" ht="10" customHeight="1" thickBot="1" x14ac:dyDescent="0.3">
      <c r="A2" s="28"/>
      <c r="B2" s="25">
        <v>0.375</v>
      </c>
      <c r="C2" s="25">
        <v>0.38541666666666669</v>
      </c>
      <c r="D2" s="25">
        <v>0.39583333333333298</v>
      </c>
      <c r="E2" s="25">
        <v>0.40625</v>
      </c>
      <c r="F2" s="25">
        <v>0.41666666666666702</v>
      </c>
      <c r="G2" s="25">
        <v>0.4236111111111111</v>
      </c>
      <c r="H2" s="25">
        <v>0.43055555555555558</v>
      </c>
      <c r="I2" s="25">
        <v>0.4375</v>
      </c>
      <c r="J2" s="25">
        <v>0.44444444444444442</v>
      </c>
      <c r="K2" s="25">
        <v>0.45833333333333331</v>
      </c>
      <c r="L2" s="25">
        <v>0.47222222222222227</v>
      </c>
      <c r="M2" s="25">
        <v>0.4861111111111111</v>
      </c>
      <c r="N2" s="25">
        <v>0.5</v>
      </c>
      <c r="O2" s="25">
        <v>0.51041666666666663</v>
      </c>
      <c r="P2" s="25">
        <v>0.52083333333333337</v>
      </c>
      <c r="Q2" s="25">
        <v>0.53125</v>
      </c>
      <c r="R2" s="25">
        <v>0.54166666666666663</v>
      </c>
      <c r="S2" s="25">
        <v>0.55555555555555558</v>
      </c>
      <c r="T2" s="25">
        <v>0.56944444444444442</v>
      </c>
      <c r="U2" s="25">
        <v>0.58333333333333337</v>
      </c>
      <c r="V2" s="25">
        <v>0.59722222222222221</v>
      </c>
      <c r="W2" s="25">
        <v>0.61111111111111105</v>
      </c>
      <c r="X2" s="25">
        <v>0.625</v>
      </c>
      <c r="Y2" s="25">
        <v>0.63888888888888895</v>
      </c>
      <c r="Z2" s="34"/>
      <c r="AA2" s="25"/>
      <c r="AB2" s="23"/>
    </row>
    <row r="3" spans="1:28" ht="10" customHeight="1" thickBot="1" x14ac:dyDescent="0.3">
      <c r="A3" s="28" t="s">
        <v>115</v>
      </c>
      <c r="B3" s="45" t="s">
        <v>159</v>
      </c>
      <c r="C3" s="47"/>
      <c r="D3" s="45" t="s">
        <v>204</v>
      </c>
      <c r="E3" s="47"/>
      <c r="F3" s="45" t="s">
        <v>78</v>
      </c>
      <c r="G3" s="47"/>
      <c r="H3" s="43" t="s">
        <v>109</v>
      </c>
      <c r="I3" s="46"/>
      <c r="J3" s="44"/>
      <c r="K3" s="43" t="s">
        <v>110</v>
      </c>
      <c r="L3" s="46"/>
      <c r="M3" s="44"/>
      <c r="N3" s="45" t="s">
        <v>112</v>
      </c>
      <c r="O3" s="47"/>
      <c r="P3" s="45" t="s">
        <v>113</v>
      </c>
      <c r="Q3" s="46"/>
      <c r="R3" s="43" t="s">
        <v>111</v>
      </c>
      <c r="S3" s="44"/>
      <c r="T3" s="43" t="s">
        <v>114</v>
      </c>
      <c r="U3" s="44"/>
      <c r="V3" s="43" t="s">
        <v>205</v>
      </c>
      <c r="W3" s="44"/>
      <c r="X3" s="26" t="s">
        <v>206</v>
      </c>
      <c r="Y3" s="27"/>
      <c r="Z3" s="27"/>
      <c r="AA3" s="23"/>
      <c r="AB3" s="23"/>
    </row>
    <row r="4" spans="1:28" ht="10" customHeight="1" x14ac:dyDescent="0.3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3"/>
      <c r="AB4" s="23"/>
    </row>
    <row r="5" spans="1:28" ht="10" customHeight="1" thickBot="1" x14ac:dyDescent="0.4">
      <c r="A5" s="35" t="s">
        <v>121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11" t="s">
        <v>121</v>
      </c>
      <c r="AA5" s="23"/>
      <c r="AB5" s="23"/>
    </row>
    <row r="6" spans="1:28" ht="10" customHeight="1" outlineLevel="1" thickBot="1" x14ac:dyDescent="0.4">
      <c r="A6" s="28" t="s">
        <v>116</v>
      </c>
      <c r="B6" s="20" t="s">
        <v>16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21"/>
      <c r="V6" s="7"/>
      <c r="W6" s="7"/>
      <c r="X6" s="7"/>
      <c r="Y6" s="7">
        <v>5.3299999237060547</v>
      </c>
      <c r="Z6" s="7" t="s">
        <v>116</v>
      </c>
      <c r="AA6" s="36">
        <f>Y6/24</f>
        <v>0.22208333015441895</v>
      </c>
      <c r="AB6" s="37"/>
    </row>
    <row r="7" spans="1:28" ht="10" customHeight="1" outlineLevel="1" thickBot="1" x14ac:dyDescent="0.4">
      <c r="A7" s="28" t="s">
        <v>75</v>
      </c>
      <c r="B7" s="7"/>
      <c r="C7" s="7"/>
      <c r="D7" s="7"/>
      <c r="E7" s="7"/>
      <c r="F7" s="7"/>
      <c r="G7" s="7"/>
      <c r="H7" s="20" t="s">
        <v>0</v>
      </c>
      <c r="I7" s="9"/>
      <c r="J7" s="9"/>
      <c r="K7" s="9"/>
      <c r="L7" s="9"/>
      <c r="M7" s="21"/>
      <c r="N7" s="20" t="s">
        <v>112</v>
      </c>
      <c r="O7" s="21"/>
      <c r="P7" s="7"/>
      <c r="Q7" s="7"/>
      <c r="R7" s="20" t="s">
        <v>13</v>
      </c>
      <c r="S7" s="21"/>
      <c r="T7" s="20" t="s">
        <v>7</v>
      </c>
      <c r="U7" s="9"/>
      <c r="V7" s="9"/>
      <c r="W7" s="9"/>
      <c r="X7" s="21"/>
      <c r="Y7" s="7">
        <v>4.5100002288818359</v>
      </c>
      <c r="Z7" s="7" t="s">
        <v>75</v>
      </c>
      <c r="AA7" s="36">
        <f t="shared" ref="AA7:AA32" si="1">Y7/24</f>
        <v>0.18791667620340982</v>
      </c>
      <c r="AB7" s="37"/>
    </row>
    <row r="8" spans="1:28" ht="10" customHeight="1" outlineLevel="1" thickBot="1" x14ac:dyDescent="0.4">
      <c r="A8" s="28" t="s">
        <v>117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20" t="s">
        <v>0</v>
      </c>
      <c r="S8" s="9"/>
      <c r="T8" s="9"/>
      <c r="U8" s="9"/>
      <c r="V8" s="9"/>
      <c r="W8" s="9"/>
      <c r="X8" s="21"/>
      <c r="Y8" s="7">
        <v>2.3299999237060547</v>
      </c>
      <c r="Z8" s="7" t="s">
        <v>117</v>
      </c>
      <c r="AA8" s="36">
        <f t="shared" si="1"/>
        <v>9.7083330154418945E-2</v>
      </c>
      <c r="AB8" s="37"/>
    </row>
    <row r="9" spans="1:28" ht="10" customHeight="1" outlineLevel="1" thickBot="1" x14ac:dyDescent="0.4">
      <c r="A9" s="28" t="s">
        <v>118</v>
      </c>
      <c r="B9" s="7"/>
      <c r="C9" s="7"/>
      <c r="D9" s="20" t="s">
        <v>98</v>
      </c>
      <c r="E9" s="21"/>
      <c r="F9" s="20" t="s">
        <v>78</v>
      </c>
      <c r="G9" s="21"/>
      <c r="H9" s="7"/>
      <c r="I9" s="7"/>
      <c r="J9" s="7"/>
      <c r="K9" s="7"/>
      <c r="L9" s="7"/>
      <c r="M9" s="7"/>
      <c r="N9" s="7"/>
      <c r="O9" s="7"/>
      <c r="P9" s="7"/>
      <c r="Q9" s="7"/>
      <c r="R9" s="20" t="s">
        <v>0</v>
      </c>
      <c r="S9" s="9"/>
      <c r="T9" s="9"/>
      <c r="U9" s="9"/>
      <c r="V9" s="9"/>
      <c r="W9" s="9"/>
      <c r="X9" s="21"/>
      <c r="Y9" s="7">
        <v>3.1599998474121094</v>
      </c>
      <c r="Z9" s="7" t="s">
        <v>118</v>
      </c>
      <c r="AA9" s="36">
        <f t="shared" si="1"/>
        <v>0.13166666030883789</v>
      </c>
      <c r="AB9" s="37"/>
    </row>
    <row r="10" spans="1:28" ht="10" customHeight="1" outlineLevel="1" thickBot="1" x14ac:dyDescent="0.4">
      <c r="A10" s="28" t="s">
        <v>83</v>
      </c>
      <c r="B10" s="7"/>
      <c r="C10" s="7"/>
      <c r="D10" s="20" t="s">
        <v>97</v>
      </c>
      <c r="E10" s="21"/>
      <c r="F10" s="20" t="s">
        <v>78</v>
      </c>
      <c r="G10" s="21"/>
      <c r="H10" s="20" t="s">
        <v>5</v>
      </c>
      <c r="I10" s="9"/>
      <c r="J10" s="21"/>
      <c r="K10" s="20" t="s">
        <v>5</v>
      </c>
      <c r="L10" s="9"/>
      <c r="M10" s="21"/>
      <c r="N10" s="7"/>
      <c r="O10" s="7"/>
      <c r="P10" s="20" t="s">
        <v>169</v>
      </c>
      <c r="Q10" s="21"/>
      <c r="R10" s="20" t="s">
        <v>5</v>
      </c>
      <c r="S10" s="9"/>
      <c r="T10" s="9"/>
      <c r="U10" s="9"/>
      <c r="V10" s="9"/>
      <c r="W10" s="9"/>
      <c r="X10" s="21"/>
      <c r="Y10" s="7">
        <v>5.3299999237060547</v>
      </c>
      <c r="Z10" s="7" t="s">
        <v>83</v>
      </c>
      <c r="AA10" s="36">
        <f t="shared" si="1"/>
        <v>0.22208333015441895</v>
      </c>
      <c r="AB10" s="37"/>
    </row>
    <row r="11" spans="1:28" ht="10" customHeight="1" outlineLevel="1" thickBot="1" x14ac:dyDescent="0.4">
      <c r="A11" s="28" t="s">
        <v>79</v>
      </c>
      <c r="B11" s="7"/>
      <c r="C11" s="7"/>
      <c r="D11" s="7"/>
      <c r="E11" s="7"/>
      <c r="F11" s="7"/>
      <c r="G11" s="7"/>
      <c r="H11" s="20" t="s">
        <v>7</v>
      </c>
      <c r="I11" s="9"/>
      <c r="J11" s="9"/>
      <c r="K11" s="9"/>
      <c r="L11" s="9"/>
      <c r="M11" s="21"/>
      <c r="N11" s="20" t="s">
        <v>112</v>
      </c>
      <c r="O11" s="21"/>
      <c r="P11" s="7"/>
      <c r="Q11" s="7"/>
      <c r="R11" s="7"/>
      <c r="S11" s="7"/>
      <c r="T11" s="7"/>
      <c r="U11" s="7"/>
      <c r="V11" s="7"/>
      <c r="W11" s="7"/>
      <c r="X11" s="7"/>
      <c r="Y11" s="7">
        <v>2.1700000762939453</v>
      </c>
      <c r="Z11" s="7" t="s">
        <v>79</v>
      </c>
      <c r="AA11" s="36">
        <f t="shared" si="1"/>
        <v>9.0416669845581055E-2</v>
      </c>
      <c r="AB11" s="37"/>
    </row>
    <row r="12" spans="1:28" ht="10" customHeight="1" outlineLevel="1" thickBot="1" x14ac:dyDescent="0.4">
      <c r="A12" s="28" t="s">
        <v>73</v>
      </c>
      <c r="B12" s="20" t="s">
        <v>220</v>
      </c>
      <c r="C12" s="9"/>
      <c r="D12" s="9"/>
      <c r="E12" s="9"/>
      <c r="F12" s="9"/>
      <c r="G12" s="9"/>
      <c r="H12" s="9"/>
      <c r="I12" s="9"/>
      <c r="J12" s="9"/>
      <c r="K12" s="21"/>
      <c r="L12" s="7"/>
      <c r="M12" s="7"/>
      <c r="N12" s="7"/>
      <c r="O12" s="7"/>
      <c r="P12" s="20" t="s">
        <v>169</v>
      </c>
      <c r="Q12" s="21"/>
      <c r="R12" s="20" t="s">
        <v>7</v>
      </c>
      <c r="S12" s="21"/>
      <c r="T12" s="20" t="s">
        <v>13</v>
      </c>
      <c r="U12" s="9"/>
      <c r="V12" s="21"/>
      <c r="W12" s="7"/>
      <c r="X12" s="7"/>
      <c r="Y12" s="7">
        <v>4.5</v>
      </c>
      <c r="Z12" s="7" t="s">
        <v>73</v>
      </c>
      <c r="AA12" s="36">
        <f t="shared" si="1"/>
        <v>0.1875</v>
      </c>
      <c r="AB12" s="37"/>
    </row>
    <row r="13" spans="1:28" ht="10" customHeight="1" thickBot="1" x14ac:dyDescent="0.4">
      <c r="A13" s="35" t="s">
        <v>122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11" t="s">
        <v>122</v>
      </c>
      <c r="AA13" s="36">
        <f t="shared" si="1"/>
        <v>0</v>
      </c>
      <c r="AB13" s="37"/>
    </row>
    <row r="14" spans="1:28" ht="10" customHeight="1" outlineLevel="1" thickBot="1" x14ac:dyDescent="0.4">
      <c r="A14" s="28" t="s">
        <v>77</v>
      </c>
      <c r="B14" s="7"/>
      <c r="C14" s="7"/>
      <c r="D14" s="7"/>
      <c r="E14" s="7"/>
      <c r="F14" s="7"/>
      <c r="G14" s="7"/>
      <c r="H14" s="20" t="s">
        <v>7</v>
      </c>
      <c r="I14" s="9"/>
      <c r="J14" s="9"/>
      <c r="K14" s="9"/>
      <c r="L14" s="9"/>
      <c r="M14" s="21"/>
      <c r="N14" s="7"/>
      <c r="O14" s="7"/>
      <c r="P14" s="20" t="s">
        <v>169</v>
      </c>
      <c r="Q14" s="21"/>
      <c r="R14" s="20" t="s">
        <v>171</v>
      </c>
      <c r="S14" s="9"/>
      <c r="T14" s="9"/>
      <c r="U14" s="9"/>
      <c r="V14" s="9"/>
      <c r="W14" s="9"/>
      <c r="X14" s="21"/>
      <c r="Y14" s="7">
        <v>4.5</v>
      </c>
      <c r="Z14" s="7" t="s">
        <v>77</v>
      </c>
      <c r="AA14" s="36">
        <f t="shared" si="1"/>
        <v>0.1875</v>
      </c>
      <c r="AB14" s="37"/>
    </row>
    <row r="15" spans="1:28" ht="10" customHeight="1" outlineLevel="1" thickBot="1" x14ac:dyDescent="0.4">
      <c r="A15" s="28" t="s">
        <v>120</v>
      </c>
      <c r="B15" s="65" t="s">
        <v>139</v>
      </c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7"/>
      <c r="Y15" s="7"/>
      <c r="Z15" s="7" t="s">
        <v>120</v>
      </c>
      <c r="AA15" s="36">
        <f t="shared" si="1"/>
        <v>0</v>
      </c>
      <c r="AB15" s="37"/>
    </row>
    <row r="16" spans="1:28" ht="10" customHeight="1" outlineLevel="1" thickBot="1" x14ac:dyDescent="0.4">
      <c r="A16" s="28" t="s">
        <v>74</v>
      </c>
      <c r="B16" s="20" t="s">
        <v>16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21"/>
      <c r="V16" s="7"/>
      <c r="W16" s="7"/>
      <c r="X16" s="7"/>
      <c r="Y16" s="7">
        <v>5.3299999237060547</v>
      </c>
      <c r="Z16" s="7" t="s">
        <v>74</v>
      </c>
      <c r="AA16" s="36">
        <f t="shared" si="1"/>
        <v>0.22208333015441895</v>
      </c>
      <c r="AB16" s="37"/>
    </row>
    <row r="17" spans="1:28" ht="10" customHeight="1" outlineLevel="1" x14ac:dyDescent="0.35">
      <c r="A17" s="28" t="s">
        <v>76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>
        <v>0</v>
      </c>
      <c r="Z17" s="7" t="s">
        <v>76</v>
      </c>
      <c r="AA17" s="36">
        <f t="shared" si="1"/>
        <v>0</v>
      </c>
      <c r="AB17" s="37"/>
    </row>
    <row r="18" spans="1:28" ht="10" customHeight="1" outlineLevel="1" x14ac:dyDescent="0.35">
      <c r="A18" s="28" t="s">
        <v>119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>
        <v>0</v>
      </c>
      <c r="Z18" s="7" t="s">
        <v>119</v>
      </c>
      <c r="AA18" s="36">
        <f t="shared" si="1"/>
        <v>0</v>
      </c>
      <c r="AB18" s="37"/>
    </row>
    <row r="19" spans="1:28" ht="10" customHeight="1" thickBot="1" x14ac:dyDescent="0.4">
      <c r="A19" s="35" t="s">
        <v>123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11" t="s">
        <v>123</v>
      </c>
      <c r="AA19" s="36">
        <f t="shared" si="1"/>
        <v>0</v>
      </c>
      <c r="AB19" s="37"/>
    </row>
    <row r="20" spans="1:28" ht="10" customHeight="1" outlineLevel="1" thickBot="1" x14ac:dyDescent="0.4">
      <c r="A20" s="28" t="s">
        <v>69</v>
      </c>
      <c r="B20" s="20" t="s">
        <v>160</v>
      </c>
      <c r="C20" s="21"/>
      <c r="D20" s="20" t="s">
        <v>97</v>
      </c>
      <c r="E20" s="21"/>
      <c r="F20" s="7"/>
      <c r="G20" s="7"/>
      <c r="H20" s="20" t="s">
        <v>0</v>
      </c>
      <c r="I20" s="9"/>
      <c r="J20" s="9"/>
      <c r="K20" s="9"/>
      <c r="L20" s="9"/>
      <c r="M20" s="21"/>
      <c r="N20" s="20" t="s">
        <v>112</v>
      </c>
      <c r="O20" s="21"/>
      <c r="P20" s="7"/>
      <c r="Q20" s="7"/>
      <c r="R20" s="20" t="s">
        <v>0</v>
      </c>
      <c r="S20" s="9"/>
      <c r="T20" s="9"/>
      <c r="U20" s="9"/>
      <c r="V20" s="9"/>
      <c r="W20" s="9"/>
      <c r="X20" s="21"/>
      <c r="Y20" s="7">
        <v>5.5</v>
      </c>
      <c r="Z20" s="7" t="s">
        <v>69</v>
      </c>
      <c r="AA20" s="36">
        <f t="shared" si="1"/>
        <v>0.22916666666666666</v>
      </c>
      <c r="AB20" s="37"/>
    </row>
    <row r="21" spans="1:28" ht="10" customHeight="1" outlineLevel="1" thickBot="1" x14ac:dyDescent="0.4">
      <c r="A21" s="28" t="s">
        <v>190</v>
      </c>
      <c r="B21" s="20" t="s">
        <v>166</v>
      </c>
      <c r="C21" s="21"/>
      <c r="D21" s="20" t="s">
        <v>98</v>
      </c>
      <c r="E21" s="21"/>
      <c r="F21" s="7"/>
      <c r="G21" s="7"/>
      <c r="H21" s="20" t="s">
        <v>7</v>
      </c>
      <c r="I21" s="9"/>
      <c r="J21" s="9"/>
      <c r="K21" s="9"/>
      <c r="L21" s="9"/>
      <c r="M21" s="21"/>
      <c r="N21" s="7"/>
      <c r="O21" s="7"/>
      <c r="P21" s="7"/>
      <c r="Q21" s="7"/>
      <c r="R21" s="7"/>
      <c r="S21" s="7"/>
      <c r="T21" s="20" t="s">
        <v>227</v>
      </c>
      <c r="U21" s="9"/>
      <c r="V21" s="9"/>
      <c r="W21" s="9"/>
      <c r="X21" s="21"/>
      <c r="Y21" s="7">
        <v>4.3400001525878906</v>
      </c>
      <c r="Z21" s="7" t="s">
        <v>190</v>
      </c>
      <c r="AA21" s="36">
        <f t="shared" si="1"/>
        <v>0.18083333969116211</v>
      </c>
      <c r="AB21" s="37"/>
    </row>
    <row r="22" spans="1:28" ht="10" customHeight="1" outlineLevel="1" thickBot="1" x14ac:dyDescent="0.4">
      <c r="A22" s="28" t="s">
        <v>72</v>
      </c>
      <c r="B22" s="20" t="s">
        <v>164</v>
      </c>
      <c r="C22" s="21"/>
      <c r="D22" s="20" t="s">
        <v>98</v>
      </c>
      <c r="E22" s="21"/>
      <c r="F22" s="7"/>
      <c r="G22" s="7"/>
      <c r="H22" s="20" t="s">
        <v>5</v>
      </c>
      <c r="I22" s="9"/>
      <c r="J22" s="21"/>
      <c r="K22" s="20" t="s">
        <v>5</v>
      </c>
      <c r="L22" s="9"/>
      <c r="M22" s="21"/>
      <c r="N22" s="20" t="s">
        <v>112</v>
      </c>
      <c r="O22" s="21"/>
      <c r="P22" s="7"/>
      <c r="Q22" s="7"/>
      <c r="R22" s="20" t="s">
        <v>5</v>
      </c>
      <c r="S22" s="9"/>
      <c r="T22" s="9"/>
      <c r="U22" s="9"/>
      <c r="V22" s="9"/>
      <c r="W22" s="9"/>
      <c r="X22" s="21"/>
      <c r="Y22" s="7">
        <v>5.5</v>
      </c>
      <c r="Z22" s="7" t="s">
        <v>72</v>
      </c>
      <c r="AA22" s="36">
        <f t="shared" si="1"/>
        <v>0.22916666666666666</v>
      </c>
      <c r="AB22" s="37"/>
    </row>
    <row r="23" spans="1:28" ht="10" customHeight="1" outlineLevel="1" thickBot="1" x14ac:dyDescent="0.4">
      <c r="A23" s="28" t="s">
        <v>71</v>
      </c>
      <c r="B23" s="20" t="s">
        <v>160</v>
      </c>
      <c r="C23" s="21"/>
      <c r="D23" s="20" t="s">
        <v>97</v>
      </c>
      <c r="E23" s="21"/>
      <c r="F23" s="7"/>
      <c r="G23" s="7"/>
      <c r="H23" s="20" t="s">
        <v>0</v>
      </c>
      <c r="I23" s="9"/>
      <c r="J23" s="9"/>
      <c r="K23" s="9"/>
      <c r="L23" s="9"/>
      <c r="M23" s="21"/>
      <c r="N23" s="7"/>
      <c r="O23" s="7"/>
      <c r="P23" s="20" t="s">
        <v>224</v>
      </c>
      <c r="Q23" s="21"/>
      <c r="R23" s="9"/>
      <c r="S23" s="9"/>
      <c r="T23" s="9"/>
      <c r="U23" s="9"/>
      <c r="V23" s="9"/>
      <c r="W23" s="9"/>
      <c r="X23" s="21"/>
      <c r="Y23" s="7">
        <v>8.8299999237060547</v>
      </c>
      <c r="Z23" s="7" t="s">
        <v>71</v>
      </c>
      <c r="AA23" s="36">
        <f t="shared" si="1"/>
        <v>0.36791666348775226</v>
      </c>
      <c r="AB23" s="37"/>
    </row>
    <row r="24" spans="1:28" ht="10" customHeight="1" outlineLevel="1" thickBot="1" x14ac:dyDescent="0.4">
      <c r="A24" s="28" t="s">
        <v>70</v>
      </c>
      <c r="B24" s="20" t="s">
        <v>166</v>
      </c>
      <c r="C24" s="21"/>
      <c r="D24" s="20" t="s">
        <v>98</v>
      </c>
      <c r="E24" s="21"/>
      <c r="F24" s="7"/>
      <c r="G24" s="7"/>
      <c r="H24" s="20" t="s">
        <v>7</v>
      </c>
      <c r="I24" s="9"/>
      <c r="J24" s="9"/>
      <c r="K24" s="9"/>
      <c r="L24" s="9"/>
      <c r="M24" s="21"/>
      <c r="N24" s="7"/>
      <c r="O24" s="7"/>
      <c r="P24" s="7"/>
      <c r="Q24" s="7"/>
      <c r="R24" s="20" t="s">
        <v>0</v>
      </c>
      <c r="S24" s="9"/>
      <c r="T24" s="9"/>
      <c r="U24" s="9"/>
      <c r="V24" s="9"/>
      <c r="W24" s="9"/>
      <c r="X24" s="21"/>
      <c r="Y24" s="7">
        <v>5</v>
      </c>
      <c r="Z24" s="7" t="s">
        <v>70</v>
      </c>
      <c r="AA24" s="36">
        <f t="shared" si="1"/>
        <v>0.20833333333333334</v>
      </c>
      <c r="AB24" s="37"/>
    </row>
    <row r="25" spans="1:28" ht="10" customHeight="1" outlineLevel="1" thickBot="1" x14ac:dyDescent="0.4">
      <c r="A25" s="28" t="s">
        <v>82</v>
      </c>
      <c r="B25" s="7"/>
      <c r="C25" s="7"/>
      <c r="D25" s="20" t="s">
        <v>13</v>
      </c>
      <c r="E25" s="9"/>
      <c r="F25" s="9"/>
      <c r="G25" s="9"/>
      <c r="H25" s="9"/>
      <c r="I25" s="9"/>
      <c r="J25" s="9"/>
      <c r="K25" s="9"/>
      <c r="L25" s="9"/>
      <c r="M25" s="21"/>
      <c r="N25" s="20" t="s">
        <v>112</v>
      </c>
      <c r="O25" s="21"/>
      <c r="P25" s="7"/>
      <c r="Q25" s="7"/>
      <c r="R25" s="20" t="s">
        <v>229</v>
      </c>
      <c r="S25" s="9"/>
      <c r="T25" s="9"/>
      <c r="U25" s="9"/>
      <c r="V25" s="9"/>
      <c r="W25" s="9"/>
      <c r="X25" s="21"/>
      <c r="Y25" s="7">
        <v>5.3299999237060547</v>
      </c>
      <c r="Z25" s="7" t="s">
        <v>82</v>
      </c>
      <c r="AA25" s="36">
        <f t="shared" si="1"/>
        <v>0.22208333015441895</v>
      </c>
      <c r="AB25" s="37"/>
    </row>
    <row r="26" spans="1:28" ht="10" customHeight="1" outlineLevel="1" thickBot="1" x14ac:dyDescent="0.4">
      <c r="A26" s="28" t="s">
        <v>80</v>
      </c>
      <c r="B26" s="7"/>
      <c r="C26" s="7"/>
      <c r="D26" s="20" t="s">
        <v>221</v>
      </c>
      <c r="E26" s="9"/>
      <c r="F26" s="9"/>
      <c r="G26" s="9"/>
      <c r="H26" s="9"/>
      <c r="I26" s="9"/>
      <c r="J26" s="9"/>
      <c r="K26" s="9"/>
      <c r="L26" s="9"/>
      <c r="M26" s="21"/>
      <c r="N26" s="7"/>
      <c r="O26" s="7"/>
      <c r="P26" s="7"/>
      <c r="Q26" s="7"/>
      <c r="R26" s="20" t="s">
        <v>7</v>
      </c>
      <c r="S26" s="21"/>
      <c r="T26" s="20" t="s">
        <v>7</v>
      </c>
      <c r="U26" s="9"/>
      <c r="V26" s="9"/>
      <c r="W26" s="9"/>
      <c r="X26" s="21"/>
      <c r="Y26" s="7">
        <v>4.8400001525878906</v>
      </c>
      <c r="Z26" s="7" t="s">
        <v>80</v>
      </c>
      <c r="AA26" s="36">
        <f t="shared" si="1"/>
        <v>0.20166667302449545</v>
      </c>
      <c r="AB26" s="37"/>
    </row>
    <row r="27" spans="1:28" ht="10" customHeight="1" outlineLevel="1" thickBot="1" x14ac:dyDescent="0.4">
      <c r="A27" s="28" t="s">
        <v>81</v>
      </c>
      <c r="B27" s="20" t="s">
        <v>160</v>
      </c>
      <c r="C27" s="21"/>
      <c r="D27" s="20" t="s">
        <v>98</v>
      </c>
      <c r="E27" s="21"/>
      <c r="F27" s="7"/>
      <c r="G27" s="7"/>
      <c r="H27" s="20" t="s">
        <v>0</v>
      </c>
      <c r="I27" s="9"/>
      <c r="J27" s="9"/>
      <c r="K27" s="9"/>
      <c r="L27" s="9"/>
      <c r="M27" s="21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>
        <v>2.6700000762939453</v>
      </c>
      <c r="Z27" s="7" t="s">
        <v>81</v>
      </c>
      <c r="AA27" s="36">
        <f t="shared" si="1"/>
        <v>0.11125000317891438</v>
      </c>
      <c r="AB27" s="37"/>
    </row>
    <row r="28" spans="1:28" ht="10" customHeight="1" thickBot="1" x14ac:dyDescent="0.4">
      <c r="A28" s="35" t="s">
        <v>124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11" t="s">
        <v>124</v>
      </c>
      <c r="AA28" s="36">
        <f t="shared" si="1"/>
        <v>0</v>
      </c>
      <c r="AB28" s="37"/>
    </row>
    <row r="29" spans="1:28" ht="10" customHeight="1" outlineLevel="1" thickBot="1" x14ac:dyDescent="0.4">
      <c r="A29" s="28" t="s">
        <v>100</v>
      </c>
      <c r="B29" s="7"/>
      <c r="C29" s="7"/>
      <c r="D29" s="20" t="s">
        <v>13</v>
      </c>
      <c r="E29" s="9"/>
      <c r="F29" s="9"/>
      <c r="G29" s="9"/>
      <c r="H29" s="9"/>
      <c r="I29" s="9"/>
      <c r="J29" s="9"/>
      <c r="K29" s="9"/>
      <c r="L29" s="9"/>
      <c r="M29" s="21"/>
      <c r="N29" s="20" t="s">
        <v>13</v>
      </c>
      <c r="O29" s="9"/>
      <c r="P29" s="9"/>
      <c r="Q29" s="21"/>
      <c r="R29" s="20" t="s">
        <v>13</v>
      </c>
      <c r="S29" s="21"/>
      <c r="T29" s="20" t="s">
        <v>13</v>
      </c>
      <c r="U29" s="9"/>
      <c r="V29" s="21"/>
      <c r="W29" s="7"/>
      <c r="X29" s="7"/>
      <c r="Y29" s="7">
        <v>5.1700000762939453</v>
      </c>
      <c r="Z29" s="7" t="s">
        <v>100</v>
      </c>
      <c r="AA29" s="36">
        <f t="shared" si="1"/>
        <v>0.21541666984558105</v>
      </c>
      <c r="AB29" s="37"/>
    </row>
    <row r="30" spans="1:28" ht="10" customHeight="1" outlineLevel="1" thickBot="1" x14ac:dyDescent="0.4">
      <c r="A30" s="28" t="s">
        <v>99</v>
      </c>
      <c r="B30" s="7"/>
      <c r="C30" s="7"/>
      <c r="D30" s="20" t="s">
        <v>97</v>
      </c>
      <c r="E30" s="21"/>
      <c r="F30" s="7"/>
      <c r="G30" s="7"/>
      <c r="H30" s="7"/>
      <c r="I30" s="7"/>
      <c r="J30" s="7"/>
      <c r="K30" s="7"/>
      <c r="L30" s="7"/>
      <c r="M30" s="7"/>
      <c r="N30" s="20" t="s">
        <v>13</v>
      </c>
      <c r="O30" s="9"/>
      <c r="P30" s="9"/>
      <c r="Q30" s="21"/>
      <c r="R30" s="20" t="s">
        <v>7</v>
      </c>
      <c r="S30" s="21"/>
      <c r="T30" s="20" t="s">
        <v>7</v>
      </c>
      <c r="U30" s="9"/>
      <c r="V30" s="9"/>
      <c r="W30" s="9"/>
      <c r="X30" s="21"/>
      <c r="Y30" s="7">
        <v>3.8400001525878906</v>
      </c>
      <c r="Z30" s="7" t="s">
        <v>99</v>
      </c>
      <c r="AA30" s="36">
        <f t="shared" si="1"/>
        <v>0.16000000635782877</v>
      </c>
      <c r="AB30" s="37"/>
    </row>
    <row r="31" spans="1:28" ht="10" customHeight="1" outlineLevel="1" thickBot="1" x14ac:dyDescent="0.4">
      <c r="A31" s="28" t="s">
        <v>125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>
        <v>0</v>
      </c>
      <c r="Z31" s="7" t="s">
        <v>125</v>
      </c>
      <c r="AA31" s="36">
        <f t="shared" si="1"/>
        <v>0</v>
      </c>
      <c r="AB31" s="37"/>
    </row>
    <row r="32" spans="1:28" ht="10" customHeight="1" thickBot="1" x14ac:dyDescent="0.4">
      <c r="A32" s="28" t="s">
        <v>161</v>
      </c>
      <c r="B32" s="20" t="s">
        <v>164</v>
      </c>
      <c r="C32" s="21"/>
      <c r="D32" s="20" t="s">
        <v>97</v>
      </c>
      <c r="E32" s="21"/>
      <c r="F32" s="7"/>
      <c r="G32" s="7"/>
      <c r="H32" s="20" t="s">
        <v>5</v>
      </c>
      <c r="I32" s="9"/>
      <c r="J32" s="21"/>
      <c r="K32" s="20" t="s">
        <v>5</v>
      </c>
      <c r="L32" s="9"/>
      <c r="M32" s="21"/>
      <c r="N32" s="7"/>
      <c r="O32" s="7"/>
      <c r="P32" s="20" t="s">
        <v>169</v>
      </c>
      <c r="Q32" s="21"/>
      <c r="R32" s="20" t="s">
        <v>5</v>
      </c>
      <c r="S32" s="9"/>
      <c r="T32" s="9"/>
      <c r="U32" s="9"/>
      <c r="V32" s="9"/>
      <c r="W32" s="9"/>
      <c r="X32" s="21"/>
      <c r="Y32" s="7">
        <v>5.5</v>
      </c>
      <c r="Z32" s="7" t="s">
        <v>161</v>
      </c>
      <c r="AA32" s="36">
        <f t="shared" si="1"/>
        <v>0.22916666666666666</v>
      </c>
      <c r="AB32" s="23"/>
    </row>
    <row r="33" spans="1:28" ht="10" customHeight="1" x14ac:dyDescent="0.35">
      <c r="A33" s="2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23"/>
      <c r="AB33" s="23"/>
    </row>
    <row r="34" spans="1:28" ht="10" customHeight="1" x14ac:dyDescent="0.35">
      <c r="A34" s="2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23"/>
      <c r="AB34" s="23"/>
    </row>
    <row r="35" spans="1:28" ht="10" customHeight="1" x14ac:dyDescent="0.35">
      <c r="A35" s="2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23"/>
      <c r="AB35" s="23"/>
    </row>
    <row r="36" spans="1:28" ht="10" customHeight="1" x14ac:dyDescent="0.35">
      <c r="A36" s="2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23"/>
      <c r="AB36" s="23"/>
    </row>
    <row r="37" spans="1:28" ht="10" customHeight="1" x14ac:dyDescent="0.3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8" ht="10" customHeight="1" x14ac:dyDescent="0.35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8" ht="10" customHeight="1" x14ac:dyDescent="0.35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8" ht="10" customHeight="1" x14ac:dyDescent="0.35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8" x14ac:dyDescent="0.35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8" x14ac:dyDescent="0.35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8" x14ac:dyDescent="0.35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8" x14ac:dyDescent="0.3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8" x14ac:dyDescent="0.35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8" x14ac:dyDescent="0.35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8" x14ac:dyDescent="0.35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8" x14ac:dyDescent="0.3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2:26" x14ac:dyDescent="0.3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2:26" x14ac:dyDescent="0.3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100" spans="4:5" x14ac:dyDescent="0.35">
      <c r="D100" t="s">
        <v>247</v>
      </c>
      <c r="E100">
        <v>15</v>
      </c>
    </row>
    <row r="101" spans="4:5" x14ac:dyDescent="0.35">
      <c r="D101" t="s">
        <v>174</v>
      </c>
      <c r="E101">
        <v>7</v>
      </c>
    </row>
    <row r="102" spans="4:5" x14ac:dyDescent="0.35">
      <c r="D102" t="s">
        <v>152</v>
      </c>
      <c r="E102">
        <v>9</v>
      </c>
    </row>
    <row r="103" spans="4:5" x14ac:dyDescent="0.35">
      <c r="D103" t="s">
        <v>283</v>
      </c>
      <c r="E103">
        <v>19</v>
      </c>
    </row>
    <row r="104" spans="4:5" x14ac:dyDescent="0.35">
      <c r="D104" t="s">
        <v>248</v>
      </c>
      <c r="E104">
        <v>20</v>
      </c>
    </row>
    <row r="105" spans="4:5" x14ac:dyDescent="0.35">
      <c r="D105" t="s">
        <v>277</v>
      </c>
      <c r="E105">
        <v>16</v>
      </c>
    </row>
    <row r="106" spans="4:5" x14ac:dyDescent="0.35">
      <c r="D106" t="s">
        <v>278</v>
      </c>
      <c r="E106">
        <v>5</v>
      </c>
    </row>
    <row r="107" spans="4:5" x14ac:dyDescent="0.35">
      <c r="D107" t="s">
        <v>279</v>
      </c>
      <c r="E107">
        <v>6</v>
      </c>
    </row>
    <row r="108" spans="4:5" x14ac:dyDescent="0.35">
      <c r="D108" t="s">
        <v>280</v>
      </c>
      <c r="E108">
        <v>16</v>
      </c>
    </row>
    <row r="109" spans="4:5" x14ac:dyDescent="0.35">
      <c r="D109" t="s">
        <v>249</v>
      </c>
      <c r="E109">
        <v>4</v>
      </c>
    </row>
    <row r="110" spans="4:5" x14ac:dyDescent="0.35">
      <c r="D110" t="s">
        <v>250</v>
      </c>
      <c r="E110">
        <v>6</v>
      </c>
    </row>
    <row r="111" spans="4:5" x14ac:dyDescent="0.35">
      <c r="D111" t="s">
        <v>175</v>
      </c>
      <c r="E111">
        <v>8</v>
      </c>
    </row>
    <row r="112" spans="4:5" x14ac:dyDescent="0.35">
      <c r="D112" t="s">
        <v>275</v>
      </c>
      <c r="E112">
        <v>10</v>
      </c>
    </row>
    <row r="113" spans="4:5" x14ac:dyDescent="0.35">
      <c r="D113" t="s">
        <v>210</v>
      </c>
      <c r="E113">
        <v>17</v>
      </c>
    </row>
    <row r="114" spans="4:5" x14ac:dyDescent="0.35">
      <c r="D114" t="s">
        <v>273</v>
      </c>
      <c r="E114">
        <v>28</v>
      </c>
    </row>
    <row r="115" spans="4:5" x14ac:dyDescent="0.35">
      <c r="D115" t="s">
        <v>176</v>
      </c>
      <c r="E115">
        <v>7</v>
      </c>
    </row>
    <row r="116" spans="4:5" x14ac:dyDescent="0.35">
      <c r="D116" t="s">
        <v>153</v>
      </c>
      <c r="E116">
        <v>11</v>
      </c>
    </row>
    <row r="117" spans="4:5" x14ac:dyDescent="0.35">
      <c r="D117" t="s">
        <v>251</v>
      </c>
      <c r="E117">
        <v>8</v>
      </c>
    </row>
    <row r="118" spans="4:5" x14ac:dyDescent="0.35">
      <c r="D118" t="s">
        <v>252</v>
      </c>
      <c r="E118">
        <v>13</v>
      </c>
    </row>
    <row r="119" spans="4:5" x14ac:dyDescent="0.35">
      <c r="D119" t="s">
        <v>284</v>
      </c>
      <c r="E119">
        <v>18</v>
      </c>
    </row>
    <row r="120" spans="4:5" x14ac:dyDescent="0.35">
      <c r="D120" t="s">
        <v>253</v>
      </c>
      <c r="E120">
        <v>22</v>
      </c>
    </row>
    <row r="121" spans="4:5" x14ac:dyDescent="0.35">
      <c r="D121" t="s">
        <v>177</v>
      </c>
      <c r="E121">
        <v>8</v>
      </c>
    </row>
    <row r="122" spans="4:5" x14ac:dyDescent="0.35">
      <c r="D122" t="s">
        <v>254</v>
      </c>
      <c r="E122">
        <v>11</v>
      </c>
    </row>
    <row r="123" spans="4:5" x14ac:dyDescent="0.35">
      <c r="D123" t="s">
        <v>255</v>
      </c>
      <c r="E123">
        <v>23</v>
      </c>
    </row>
    <row r="124" spans="4:5" x14ac:dyDescent="0.35">
      <c r="D124" t="s">
        <v>256</v>
      </c>
      <c r="E124">
        <v>15</v>
      </c>
    </row>
    <row r="125" spans="4:5" x14ac:dyDescent="0.35">
      <c r="D125" t="s">
        <v>178</v>
      </c>
      <c r="E125">
        <v>1</v>
      </c>
    </row>
    <row r="126" spans="4:5" x14ac:dyDescent="0.35">
      <c r="D126" t="s">
        <v>179</v>
      </c>
      <c r="E126">
        <v>4</v>
      </c>
    </row>
    <row r="127" spans="4:5" x14ac:dyDescent="0.35">
      <c r="D127" t="s">
        <v>180</v>
      </c>
      <c r="E127">
        <v>7</v>
      </c>
    </row>
    <row r="128" spans="4:5" x14ac:dyDescent="0.35">
      <c r="D128" t="s">
        <v>154</v>
      </c>
      <c r="E128">
        <v>9</v>
      </c>
    </row>
    <row r="129" spans="4:5" x14ac:dyDescent="0.35">
      <c r="D129" t="s">
        <v>211</v>
      </c>
      <c r="E129">
        <v>16</v>
      </c>
    </row>
    <row r="130" spans="4:5" x14ac:dyDescent="0.35">
      <c r="D130" t="s">
        <v>195</v>
      </c>
      <c r="E130">
        <v>3</v>
      </c>
    </row>
    <row r="131" spans="4:5" x14ac:dyDescent="0.35">
      <c r="D131" t="s">
        <v>200</v>
      </c>
      <c r="E131">
        <v>5</v>
      </c>
    </row>
    <row r="132" spans="4:5" x14ac:dyDescent="0.35">
      <c r="D132" t="s">
        <v>201</v>
      </c>
      <c r="E132">
        <v>11</v>
      </c>
    </row>
    <row r="133" spans="4:5" x14ac:dyDescent="0.35">
      <c r="D133" t="s">
        <v>257</v>
      </c>
      <c r="E133">
        <v>26</v>
      </c>
    </row>
    <row r="134" spans="4:5" x14ac:dyDescent="0.35">
      <c r="D134" t="s">
        <v>185</v>
      </c>
      <c r="E134">
        <v>2</v>
      </c>
    </row>
    <row r="135" spans="4:5" x14ac:dyDescent="0.35">
      <c r="D135" t="s">
        <v>140</v>
      </c>
      <c r="E135">
        <v>5</v>
      </c>
    </row>
    <row r="136" spans="4:5" x14ac:dyDescent="0.35">
      <c r="D136" t="s">
        <v>181</v>
      </c>
      <c r="E136">
        <v>7</v>
      </c>
    </row>
    <row r="137" spans="4:5" x14ac:dyDescent="0.35">
      <c r="D137" t="s">
        <v>216</v>
      </c>
      <c r="E137">
        <v>10</v>
      </c>
    </row>
    <row r="138" spans="4:5" x14ac:dyDescent="0.35">
      <c r="D138" t="s">
        <v>212</v>
      </c>
      <c r="E138">
        <v>17</v>
      </c>
    </row>
    <row r="139" spans="4:5" x14ac:dyDescent="0.35">
      <c r="D139" t="s">
        <v>217</v>
      </c>
      <c r="E139">
        <v>28</v>
      </c>
    </row>
    <row r="140" spans="4:5" x14ac:dyDescent="0.35">
      <c r="D140" t="s">
        <v>202</v>
      </c>
      <c r="E140">
        <v>1</v>
      </c>
    </row>
    <row r="141" spans="4:5" x14ac:dyDescent="0.35">
      <c r="D141" t="s">
        <v>196</v>
      </c>
      <c r="E141">
        <v>4</v>
      </c>
    </row>
    <row r="142" spans="4:5" x14ac:dyDescent="0.35">
      <c r="D142" t="s">
        <v>182</v>
      </c>
      <c r="E142">
        <v>8</v>
      </c>
    </row>
    <row r="143" spans="4:5" x14ac:dyDescent="0.35">
      <c r="D143" t="s">
        <v>199</v>
      </c>
      <c r="E143">
        <v>9</v>
      </c>
    </row>
    <row r="144" spans="4:5" x14ac:dyDescent="0.35">
      <c r="D144" t="s">
        <v>258</v>
      </c>
      <c r="E144">
        <v>24</v>
      </c>
    </row>
    <row r="145" spans="4:5" x14ac:dyDescent="0.35">
      <c r="D145" t="s">
        <v>258</v>
      </c>
      <c r="E145">
        <v>25</v>
      </c>
    </row>
    <row r="146" spans="4:5" x14ac:dyDescent="0.35">
      <c r="D146" t="s">
        <v>197</v>
      </c>
      <c r="E146">
        <v>3</v>
      </c>
    </row>
    <row r="147" spans="4:5" x14ac:dyDescent="0.35">
      <c r="D147" t="s">
        <v>259</v>
      </c>
      <c r="E147">
        <v>5</v>
      </c>
    </row>
    <row r="148" spans="4:5" x14ac:dyDescent="0.35">
      <c r="D148" t="s">
        <v>183</v>
      </c>
      <c r="E148">
        <v>11</v>
      </c>
    </row>
    <row r="149" spans="4:5" x14ac:dyDescent="0.35">
      <c r="D149" t="s">
        <v>260</v>
      </c>
      <c r="E149">
        <v>16</v>
      </c>
    </row>
    <row r="150" spans="4:5" x14ac:dyDescent="0.35">
      <c r="D150" t="s">
        <v>184</v>
      </c>
      <c r="E150">
        <v>7</v>
      </c>
    </row>
    <row r="151" spans="4:5" x14ac:dyDescent="0.35">
      <c r="D151" t="s">
        <v>261</v>
      </c>
      <c r="E151">
        <v>12</v>
      </c>
    </row>
    <row r="152" spans="4:5" x14ac:dyDescent="0.35">
      <c r="D152" t="s">
        <v>262</v>
      </c>
      <c r="E152">
        <v>27</v>
      </c>
    </row>
    <row r="153" spans="4:5" x14ac:dyDescent="0.35">
      <c r="D153" t="s">
        <v>281</v>
      </c>
      <c r="E153">
        <v>14</v>
      </c>
    </row>
    <row r="154" spans="4:5" x14ac:dyDescent="0.35">
      <c r="D154" t="s">
        <v>285</v>
      </c>
      <c r="E154">
        <v>18</v>
      </c>
    </row>
    <row r="155" spans="4:5" x14ac:dyDescent="0.35">
      <c r="D155" t="s">
        <v>286</v>
      </c>
      <c r="E155">
        <v>19</v>
      </c>
    </row>
    <row r="156" spans="4:5" x14ac:dyDescent="0.35">
      <c r="D156" t="s">
        <v>186</v>
      </c>
      <c r="E156">
        <v>1</v>
      </c>
    </row>
    <row r="157" spans="4:5" x14ac:dyDescent="0.35">
      <c r="D157" t="s">
        <v>203</v>
      </c>
      <c r="E157">
        <v>5</v>
      </c>
    </row>
    <row r="158" spans="4:5" x14ac:dyDescent="0.35">
      <c r="D158" t="s">
        <v>263</v>
      </c>
      <c r="E158">
        <v>9</v>
      </c>
    </row>
    <row r="159" spans="4:5" x14ac:dyDescent="0.35">
      <c r="D159" t="s">
        <v>264</v>
      </c>
      <c r="E159">
        <v>12</v>
      </c>
    </row>
    <row r="160" spans="4:5" x14ac:dyDescent="0.35">
      <c r="D160" t="s">
        <v>265</v>
      </c>
      <c r="E160">
        <v>20</v>
      </c>
    </row>
    <row r="161" spans="4:5" x14ac:dyDescent="0.35">
      <c r="D161" t="s">
        <v>266</v>
      </c>
      <c r="E161">
        <v>21</v>
      </c>
    </row>
    <row r="162" spans="4:5" x14ac:dyDescent="0.35">
      <c r="D162" t="s">
        <v>267</v>
      </c>
      <c r="E162">
        <v>22</v>
      </c>
    </row>
    <row r="163" spans="4:5" x14ac:dyDescent="0.35">
      <c r="D163" t="s">
        <v>268</v>
      </c>
      <c r="E163">
        <v>4</v>
      </c>
    </row>
    <row r="164" spans="4:5" x14ac:dyDescent="0.35">
      <c r="D164" t="s">
        <v>287</v>
      </c>
      <c r="E164">
        <v>18</v>
      </c>
    </row>
    <row r="165" spans="4:5" x14ac:dyDescent="0.35">
      <c r="D165" t="s">
        <v>288</v>
      </c>
      <c r="E165">
        <v>19</v>
      </c>
    </row>
    <row r="166" spans="4:5" x14ac:dyDescent="0.35">
      <c r="D166" t="s">
        <v>269</v>
      </c>
      <c r="E166">
        <v>21</v>
      </c>
    </row>
    <row r="167" spans="4:5" x14ac:dyDescent="0.35">
      <c r="D167" t="s">
        <v>270</v>
      </c>
      <c r="E167">
        <v>2</v>
      </c>
    </row>
    <row r="168" spans="4:5" x14ac:dyDescent="0.35">
      <c r="D168" t="s">
        <v>271</v>
      </c>
      <c r="E168">
        <v>4</v>
      </c>
    </row>
    <row r="169" spans="4:5" x14ac:dyDescent="0.35">
      <c r="D169" t="s">
        <v>191</v>
      </c>
      <c r="E169">
        <v>8</v>
      </c>
    </row>
    <row r="170" spans="4:5" x14ac:dyDescent="0.35">
      <c r="D170" t="s">
        <v>276</v>
      </c>
      <c r="E170">
        <v>10</v>
      </c>
    </row>
    <row r="171" spans="4:5" x14ac:dyDescent="0.35">
      <c r="D171" t="s">
        <v>272</v>
      </c>
      <c r="E171">
        <v>17</v>
      </c>
    </row>
    <row r="172" spans="4:5" x14ac:dyDescent="0.35">
      <c r="D172" t="s">
        <v>274</v>
      </c>
      <c r="E172">
        <v>28</v>
      </c>
    </row>
  </sheetData>
  <sortState ref="A24:A31">
    <sortCondition ref="A24"/>
  </sortState>
  <mergeCells count="10">
    <mergeCell ref="R3:S3"/>
    <mergeCell ref="T3:U3"/>
    <mergeCell ref="V3:W3"/>
    <mergeCell ref="P3:Q3"/>
    <mergeCell ref="B3:C3"/>
    <mergeCell ref="D3:E3"/>
    <mergeCell ref="F3:G3"/>
    <mergeCell ref="N3:O3"/>
    <mergeCell ref="H3:J3"/>
    <mergeCell ref="K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learButton">
          <controlPr defaultSize="0" autoLine="0" r:id="rId4">
            <anchor moveWithCells="1">
              <from>
                <xdr:col>0</xdr:col>
                <xdr:colOff>393700</xdr:colOff>
                <xdr:row>43</xdr:row>
                <xdr:rowOff>31750</xdr:rowOff>
              </from>
              <to>
                <xdr:col>3</xdr:col>
                <xdr:colOff>107950</xdr:colOff>
                <xdr:row>45</xdr:row>
                <xdr:rowOff>19050</xdr:rowOff>
              </to>
            </anchor>
          </controlPr>
        </control>
      </mc:Choice>
      <mc:Fallback>
        <control shapeId="2049" r:id="rId3" name="Clear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H418"/>
  <sheetViews>
    <sheetView showGridLines="0" zoomScaleNormal="100" workbookViewId="0">
      <selection activeCell="B20" sqref="B20"/>
    </sheetView>
  </sheetViews>
  <sheetFormatPr defaultRowHeight="14.5" x14ac:dyDescent="0.35"/>
  <cols>
    <col min="4" max="28" width="7.1796875" customWidth="1"/>
  </cols>
  <sheetData>
    <row r="3" spans="2:34" s="7" customFormat="1" ht="10" customHeight="1" x14ac:dyDescent="0.2">
      <c r="C3" s="28"/>
      <c r="D3" s="24">
        <v>1</v>
      </c>
      <c r="E3" s="24">
        <f t="shared" ref="E3:Y3" si="0">D3+1</f>
        <v>2</v>
      </c>
      <c r="F3" s="24">
        <f t="shared" si="0"/>
        <v>3</v>
      </c>
      <c r="G3" s="24">
        <f t="shared" si="0"/>
        <v>4</v>
      </c>
      <c r="H3" s="24">
        <f t="shared" si="0"/>
        <v>5</v>
      </c>
      <c r="I3" s="24">
        <f t="shared" si="0"/>
        <v>6</v>
      </c>
      <c r="J3" s="24">
        <f t="shared" si="0"/>
        <v>7</v>
      </c>
      <c r="K3" s="24">
        <f t="shared" si="0"/>
        <v>8</v>
      </c>
      <c r="L3" s="24">
        <f t="shared" si="0"/>
        <v>9</v>
      </c>
      <c r="M3" s="24">
        <f t="shared" si="0"/>
        <v>10</v>
      </c>
      <c r="N3" s="24">
        <f t="shared" si="0"/>
        <v>11</v>
      </c>
      <c r="O3" s="24">
        <f t="shared" si="0"/>
        <v>12</v>
      </c>
      <c r="P3" s="24">
        <f t="shared" si="0"/>
        <v>13</v>
      </c>
      <c r="Q3" s="24">
        <f t="shared" si="0"/>
        <v>14</v>
      </c>
      <c r="R3" s="24">
        <f t="shared" si="0"/>
        <v>15</v>
      </c>
      <c r="S3" s="24">
        <f t="shared" si="0"/>
        <v>16</v>
      </c>
      <c r="T3" s="24">
        <f t="shared" si="0"/>
        <v>17</v>
      </c>
      <c r="U3" s="24">
        <f t="shared" si="0"/>
        <v>18</v>
      </c>
      <c r="V3" s="24">
        <f t="shared" si="0"/>
        <v>19</v>
      </c>
      <c r="W3" s="24">
        <f t="shared" si="0"/>
        <v>20</v>
      </c>
      <c r="X3" s="24">
        <f t="shared" si="0"/>
        <v>21</v>
      </c>
      <c r="Y3" s="24">
        <f t="shared" si="0"/>
        <v>22</v>
      </c>
      <c r="Z3" s="24">
        <v>23</v>
      </c>
      <c r="AA3" s="24">
        <v>24</v>
      </c>
      <c r="AB3" s="28"/>
      <c r="AC3" s="28"/>
      <c r="AD3" s="28"/>
      <c r="AE3" s="28"/>
      <c r="AF3" s="28"/>
      <c r="AG3" s="28"/>
      <c r="AH3" s="28"/>
    </row>
    <row r="4" spans="2:34" s="7" customFormat="1" ht="10" customHeight="1" thickBot="1" x14ac:dyDescent="0.25">
      <c r="C4" s="28"/>
      <c r="D4" s="25">
        <v>0.375</v>
      </c>
      <c r="E4" s="25">
        <v>0.38541666666666669</v>
      </c>
      <c r="F4" s="25">
        <v>0.39583333333333298</v>
      </c>
      <c r="G4" s="25">
        <v>0.40625</v>
      </c>
      <c r="H4" s="25">
        <v>0.41666666666666702</v>
      </c>
      <c r="I4" s="25">
        <v>0.4236111111111111</v>
      </c>
      <c r="J4" s="25">
        <v>0.43055555555555558</v>
      </c>
      <c r="K4" s="25">
        <v>0.4375</v>
      </c>
      <c r="L4" s="25">
        <v>0.44444444444444442</v>
      </c>
      <c r="M4" s="25">
        <v>0.45833333333333331</v>
      </c>
      <c r="N4" s="25">
        <v>0.47222222222222227</v>
      </c>
      <c r="O4" s="25">
        <v>0.4861111111111111</v>
      </c>
      <c r="P4" s="25">
        <v>0.5</v>
      </c>
      <c r="Q4" s="25">
        <v>0.51041666666666663</v>
      </c>
      <c r="R4" s="25">
        <v>0.52083333333333337</v>
      </c>
      <c r="S4" s="25">
        <v>0.53125</v>
      </c>
      <c r="T4" s="25">
        <v>0.54166666666666663</v>
      </c>
      <c r="U4" s="25">
        <v>0.55555555555555558</v>
      </c>
      <c r="V4" s="25">
        <v>0.56944444444444442</v>
      </c>
      <c r="W4" s="25">
        <v>0.58333333333333337</v>
      </c>
      <c r="X4" s="25">
        <v>0.59722222222222221</v>
      </c>
      <c r="Y4" s="25">
        <v>0.61111111111111105</v>
      </c>
      <c r="Z4" s="25">
        <v>0.625</v>
      </c>
      <c r="AA4" s="25">
        <v>0.63888888888888895</v>
      </c>
      <c r="AB4" s="28"/>
      <c r="AC4" s="28"/>
      <c r="AD4" s="28"/>
      <c r="AE4" s="28"/>
      <c r="AF4" s="28"/>
      <c r="AG4" s="28"/>
      <c r="AH4" s="28"/>
    </row>
    <row r="5" spans="2:34" s="7" customFormat="1" ht="10" customHeight="1" thickBot="1" x14ac:dyDescent="0.35">
      <c r="C5" s="35" t="s">
        <v>115</v>
      </c>
      <c r="D5" s="45" t="s">
        <v>159</v>
      </c>
      <c r="E5" s="47"/>
      <c r="F5" s="45" t="s">
        <v>204</v>
      </c>
      <c r="G5" s="47"/>
      <c r="H5" s="45" t="s">
        <v>78</v>
      </c>
      <c r="I5" s="47"/>
      <c r="J5" s="43" t="s">
        <v>109</v>
      </c>
      <c r="K5" s="46"/>
      <c r="L5" s="44"/>
      <c r="M5" s="43" t="s">
        <v>110</v>
      </c>
      <c r="N5" s="46"/>
      <c r="O5" s="44"/>
      <c r="P5" s="45" t="s">
        <v>112</v>
      </c>
      <c r="Q5" s="47"/>
      <c r="R5" s="45" t="s">
        <v>113</v>
      </c>
      <c r="S5" s="46"/>
      <c r="T5" s="43" t="s">
        <v>111</v>
      </c>
      <c r="U5" s="44"/>
      <c r="V5" s="43" t="s">
        <v>114</v>
      </c>
      <c r="W5" s="44"/>
      <c r="X5" s="43" t="s">
        <v>205</v>
      </c>
      <c r="Y5" s="44"/>
      <c r="Z5" s="26" t="s">
        <v>206</v>
      </c>
      <c r="AA5" s="27"/>
      <c r="AB5" s="28"/>
      <c r="AC5" s="28"/>
      <c r="AD5" s="28"/>
      <c r="AE5" s="28"/>
      <c r="AF5" s="28"/>
      <c r="AG5" s="28"/>
      <c r="AH5" s="28"/>
    </row>
    <row r="6" spans="2:34" s="7" customFormat="1" ht="10" customHeight="1" x14ac:dyDescent="0.35">
      <c r="B6"/>
      <c r="C6" s="7" t="s">
        <v>116</v>
      </c>
      <c r="D6" s="72" t="s">
        <v>16</v>
      </c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4"/>
      <c r="AB6" s="7">
        <v>5.3299999237060547</v>
      </c>
      <c r="AE6" s="28"/>
      <c r="AF6" s="28"/>
      <c r="AG6" s="28"/>
      <c r="AH6" s="28"/>
    </row>
    <row r="7" spans="2:34" s="7" customFormat="1" ht="10" customHeight="1" x14ac:dyDescent="0.35">
      <c r="B7"/>
      <c r="D7" s="75" t="s">
        <v>155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7"/>
      <c r="AE7" s="28"/>
      <c r="AF7" s="28"/>
      <c r="AG7" s="28"/>
      <c r="AH7" s="28"/>
    </row>
    <row r="8" spans="2:34" s="7" customFormat="1" ht="10" customHeight="1" x14ac:dyDescent="0.35">
      <c r="B8"/>
      <c r="D8" s="75" t="s">
        <v>116</v>
      </c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7"/>
      <c r="AE8" s="28"/>
      <c r="AF8" s="28"/>
      <c r="AG8" s="28"/>
      <c r="AH8" s="28"/>
    </row>
    <row r="9" spans="2:34" s="7" customFormat="1" ht="10" customHeight="1" x14ac:dyDescent="0.35">
      <c r="B9"/>
      <c r="D9" s="75" t="s">
        <v>74</v>
      </c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7"/>
      <c r="AE9" s="28"/>
      <c r="AF9" s="28"/>
      <c r="AG9" s="28"/>
      <c r="AH9" s="28"/>
    </row>
    <row r="10" spans="2:34" s="7" customFormat="1" ht="10" customHeight="1" x14ac:dyDescent="0.35">
      <c r="B10"/>
      <c r="D10" s="75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7"/>
      <c r="AE10" s="28"/>
      <c r="AF10" s="28"/>
      <c r="AG10" s="28"/>
      <c r="AH10" s="28"/>
    </row>
    <row r="11" spans="2:34" s="7" customFormat="1" ht="10" customHeight="1" thickBot="1" x14ac:dyDescent="0.4">
      <c r="B11"/>
      <c r="D11" s="78" t="s">
        <v>16</v>
      </c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80"/>
      <c r="AE11" s="28"/>
      <c r="AF11" s="28"/>
      <c r="AG11" s="28"/>
      <c r="AH11" s="28"/>
    </row>
    <row r="12" spans="2:34" s="7" customFormat="1" ht="10" customHeight="1" x14ac:dyDescent="0.35">
      <c r="B12"/>
      <c r="AE12" s="28"/>
      <c r="AF12" s="28"/>
      <c r="AG12" s="28"/>
      <c r="AH12" s="28"/>
    </row>
    <row r="13" spans="2:34" s="7" customFormat="1" ht="10" customHeight="1" thickBot="1" x14ac:dyDescent="0.4">
      <c r="B13"/>
      <c r="D13" s="25">
        <v>0.375</v>
      </c>
      <c r="E13" s="25">
        <v>0.38541666666666669</v>
      </c>
      <c r="F13" s="25">
        <v>0.39583333333333298</v>
      </c>
      <c r="G13" s="25">
        <v>0.40625</v>
      </c>
      <c r="H13" s="25">
        <v>0.41666666666666702</v>
      </c>
      <c r="I13" s="25">
        <v>0.4236111111111111</v>
      </c>
      <c r="J13" s="25">
        <v>0.43055555555555558</v>
      </c>
      <c r="K13" s="25">
        <v>0.4375</v>
      </c>
      <c r="L13" s="25">
        <v>0.44444444444444442</v>
      </c>
      <c r="M13" s="25">
        <v>0.45833333333333331</v>
      </c>
      <c r="N13" s="25">
        <v>0.47222222222222227</v>
      </c>
      <c r="O13" s="25">
        <v>0.4861111111111111</v>
      </c>
      <c r="P13" s="25">
        <v>0.5</v>
      </c>
      <c r="Q13" s="25">
        <v>0.51041666666666663</v>
      </c>
      <c r="R13" s="25">
        <v>0.52083333333333337</v>
      </c>
      <c r="S13" s="25">
        <v>0.53125</v>
      </c>
      <c r="T13" s="25">
        <v>0.54166666666666663</v>
      </c>
      <c r="U13" s="25">
        <v>0.55555555555555558</v>
      </c>
      <c r="V13" s="25">
        <v>0.56944444444444442</v>
      </c>
      <c r="W13" s="25">
        <v>0.58333333333333337</v>
      </c>
      <c r="X13" s="25">
        <v>0.59722222222222221</v>
      </c>
      <c r="Y13" s="25">
        <v>0.61111111111111105</v>
      </c>
      <c r="Z13" s="25">
        <v>0.625</v>
      </c>
      <c r="AA13" s="25">
        <v>0.63888888888888895</v>
      </c>
      <c r="AE13" s="28"/>
      <c r="AF13" s="28"/>
      <c r="AG13" s="28"/>
      <c r="AH13" s="28"/>
    </row>
    <row r="14" spans="2:34" s="7" customFormat="1" ht="10" customHeight="1" thickBot="1" x14ac:dyDescent="0.4">
      <c r="B14"/>
      <c r="D14" s="45" t="s">
        <v>159</v>
      </c>
      <c r="E14" s="47"/>
      <c r="F14" s="45" t="s">
        <v>204</v>
      </c>
      <c r="G14" s="47"/>
      <c r="H14" s="45" t="s">
        <v>78</v>
      </c>
      <c r="I14" s="47"/>
      <c r="J14" s="43" t="s">
        <v>109</v>
      </c>
      <c r="K14" s="46"/>
      <c r="L14" s="44"/>
      <c r="M14" s="43" t="s">
        <v>110</v>
      </c>
      <c r="N14" s="46"/>
      <c r="O14" s="44"/>
      <c r="P14" s="45" t="s">
        <v>112</v>
      </c>
      <c r="Q14" s="47"/>
      <c r="R14" s="45" t="s">
        <v>113</v>
      </c>
      <c r="S14" s="46"/>
      <c r="T14" s="43" t="s">
        <v>111</v>
      </c>
      <c r="U14" s="44"/>
      <c r="V14" s="43" t="s">
        <v>114</v>
      </c>
      <c r="W14" s="44"/>
      <c r="X14" s="43" t="s">
        <v>205</v>
      </c>
      <c r="Y14" s="44"/>
      <c r="Z14" s="26" t="s">
        <v>206</v>
      </c>
      <c r="AA14" s="27"/>
      <c r="AE14" s="28"/>
      <c r="AF14" s="28"/>
      <c r="AG14" s="28"/>
      <c r="AH14" s="28"/>
    </row>
    <row r="15" spans="2:34" s="7" customFormat="1" ht="10" customHeight="1" x14ac:dyDescent="0.35">
      <c r="B15"/>
      <c r="C15" s="7" t="s">
        <v>75</v>
      </c>
      <c r="J15" s="72" t="s">
        <v>0</v>
      </c>
      <c r="K15" s="73"/>
      <c r="L15" s="73"/>
      <c r="M15" s="73"/>
      <c r="N15" s="73"/>
      <c r="O15" s="74"/>
      <c r="P15" s="72" t="s">
        <v>112</v>
      </c>
      <c r="Q15" s="74"/>
      <c r="T15" s="72" t="s">
        <v>13</v>
      </c>
      <c r="U15" s="74"/>
      <c r="V15" s="72" t="s">
        <v>7</v>
      </c>
      <c r="W15" s="73"/>
      <c r="X15" s="73"/>
      <c r="Y15" s="73"/>
      <c r="Z15" s="74"/>
      <c r="AB15" s="7">
        <v>4.5100002288818359</v>
      </c>
      <c r="AE15" s="28"/>
      <c r="AF15" s="28"/>
      <c r="AG15" s="28"/>
      <c r="AH15" s="28"/>
    </row>
    <row r="16" spans="2:34" s="7" customFormat="1" ht="10" customHeight="1" x14ac:dyDescent="0.35">
      <c r="B16"/>
      <c r="J16" s="75" t="s">
        <v>141</v>
      </c>
      <c r="K16" s="76"/>
      <c r="L16" s="76"/>
      <c r="M16" s="76"/>
      <c r="N16" s="76"/>
      <c r="O16" s="77"/>
      <c r="P16" s="75" t="s">
        <v>187</v>
      </c>
      <c r="Q16" s="77"/>
      <c r="T16" s="75" t="s">
        <v>189</v>
      </c>
      <c r="U16" s="77"/>
      <c r="V16" s="75" t="s">
        <v>143</v>
      </c>
      <c r="W16" s="76"/>
      <c r="X16" s="76"/>
      <c r="Y16" s="76"/>
      <c r="Z16" s="77"/>
      <c r="AE16" s="28"/>
      <c r="AF16" s="28"/>
      <c r="AG16" s="28"/>
      <c r="AH16" s="28"/>
    </row>
    <row r="17" spans="2:34" s="7" customFormat="1" ht="10" customHeight="1" x14ac:dyDescent="0.35">
      <c r="B17"/>
      <c r="J17" s="75" t="s">
        <v>75</v>
      </c>
      <c r="K17" s="76"/>
      <c r="L17" s="76"/>
      <c r="M17" s="76"/>
      <c r="N17" s="76"/>
      <c r="O17" s="77"/>
      <c r="P17" s="75" t="s">
        <v>75</v>
      </c>
      <c r="Q17" s="77"/>
      <c r="T17" s="75" t="s">
        <v>75</v>
      </c>
      <c r="U17" s="77"/>
      <c r="V17" s="75" t="s">
        <v>75</v>
      </c>
      <c r="W17" s="76"/>
      <c r="X17" s="76"/>
      <c r="Y17" s="76"/>
      <c r="Z17" s="77"/>
      <c r="AE17" s="28"/>
      <c r="AF17" s="28"/>
      <c r="AG17" s="28"/>
      <c r="AH17" s="28"/>
    </row>
    <row r="18" spans="2:34" s="7" customFormat="1" ht="10" customHeight="1" x14ac:dyDescent="0.35">
      <c r="B18"/>
      <c r="J18" s="75" t="s">
        <v>69</v>
      </c>
      <c r="K18" s="76"/>
      <c r="L18" s="76"/>
      <c r="M18" s="76"/>
      <c r="N18" s="76"/>
      <c r="O18" s="77"/>
      <c r="P18" s="75" t="s">
        <v>79</v>
      </c>
      <c r="Q18" s="77"/>
      <c r="T18" s="75" t="s">
        <v>100</v>
      </c>
      <c r="U18" s="77"/>
      <c r="V18" s="75" t="s">
        <v>80</v>
      </c>
      <c r="W18" s="76"/>
      <c r="X18" s="76"/>
      <c r="Y18" s="76"/>
      <c r="Z18" s="77"/>
      <c r="AE18" s="28"/>
      <c r="AF18" s="28"/>
      <c r="AG18" s="28"/>
      <c r="AH18" s="28"/>
    </row>
    <row r="19" spans="2:34" s="7" customFormat="1" ht="10" customHeight="1" x14ac:dyDescent="0.35">
      <c r="B19"/>
      <c r="J19" s="75" t="s">
        <v>81</v>
      </c>
      <c r="K19" s="76"/>
      <c r="L19" s="76"/>
      <c r="M19" s="76"/>
      <c r="N19" s="76"/>
      <c r="O19" s="77"/>
      <c r="P19" s="75" t="s">
        <v>72</v>
      </c>
      <c r="Q19" s="77"/>
      <c r="T19" s="75"/>
      <c r="U19" s="77"/>
      <c r="V19" s="75" t="s">
        <v>99</v>
      </c>
      <c r="W19" s="76"/>
      <c r="X19" s="76"/>
      <c r="Y19" s="76"/>
      <c r="Z19" s="77"/>
      <c r="AE19" s="28"/>
      <c r="AF19" s="28"/>
      <c r="AG19" s="28"/>
      <c r="AH19" s="28"/>
    </row>
    <row r="20" spans="2:34" s="7" customFormat="1" ht="10" customHeight="1" thickBot="1" x14ac:dyDescent="0.4">
      <c r="B20"/>
      <c r="J20" s="75" t="s">
        <v>71</v>
      </c>
      <c r="K20" s="76"/>
      <c r="L20" s="76"/>
      <c r="M20" s="76"/>
      <c r="N20" s="76"/>
      <c r="O20" s="77"/>
      <c r="P20" s="75" t="s">
        <v>69</v>
      </c>
      <c r="Q20" s="77"/>
      <c r="T20" s="78" t="s">
        <v>13</v>
      </c>
      <c r="U20" s="80"/>
      <c r="V20" s="75"/>
      <c r="W20" s="76"/>
      <c r="X20" s="76"/>
      <c r="Y20" s="76"/>
      <c r="Z20" s="77"/>
      <c r="AE20" s="28"/>
      <c r="AF20" s="28"/>
      <c r="AG20" s="28"/>
      <c r="AH20" s="28"/>
    </row>
    <row r="21" spans="2:34" s="7" customFormat="1" ht="10" customHeight="1" x14ac:dyDescent="0.35">
      <c r="B21"/>
      <c r="J21" s="75"/>
      <c r="K21" s="76"/>
      <c r="L21" s="76"/>
      <c r="M21" s="76"/>
      <c r="N21" s="76"/>
      <c r="O21" s="77"/>
      <c r="P21" s="75" t="s">
        <v>82</v>
      </c>
      <c r="Q21" s="77"/>
      <c r="V21" s="75" t="s">
        <v>6</v>
      </c>
      <c r="W21" s="76"/>
      <c r="X21" s="76"/>
      <c r="Y21" s="76"/>
      <c r="Z21" s="77"/>
      <c r="AE21" s="28"/>
      <c r="AF21" s="28"/>
      <c r="AG21" s="28"/>
      <c r="AH21" s="28"/>
    </row>
    <row r="22" spans="2:34" s="7" customFormat="1" ht="10" customHeight="1" x14ac:dyDescent="0.35">
      <c r="B22"/>
      <c r="J22" s="75" t="s">
        <v>3</v>
      </c>
      <c r="K22" s="76"/>
      <c r="L22" s="76"/>
      <c r="M22" s="76"/>
      <c r="N22" s="76"/>
      <c r="O22" s="77"/>
      <c r="P22" s="75"/>
      <c r="Q22" s="77"/>
      <c r="V22" s="75" t="s">
        <v>9</v>
      </c>
      <c r="W22" s="76"/>
      <c r="X22" s="76"/>
      <c r="Y22" s="76"/>
      <c r="Z22" s="77"/>
      <c r="AE22" s="28"/>
      <c r="AF22" s="28"/>
      <c r="AG22" s="28"/>
      <c r="AH22" s="28"/>
    </row>
    <row r="23" spans="2:34" s="7" customFormat="1" ht="10" customHeight="1" thickBot="1" x14ac:dyDescent="0.4">
      <c r="B23"/>
      <c r="J23" s="75" t="s">
        <v>4</v>
      </c>
      <c r="K23" s="76"/>
      <c r="L23" s="76"/>
      <c r="M23" s="76"/>
      <c r="N23" s="76"/>
      <c r="O23" s="77"/>
      <c r="P23" s="75" t="s">
        <v>148</v>
      </c>
      <c r="Q23" s="77"/>
      <c r="V23" s="78" t="s">
        <v>158</v>
      </c>
      <c r="W23" s="79"/>
      <c r="X23" s="79"/>
      <c r="Y23" s="79"/>
      <c r="Z23" s="80"/>
      <c r="AE23" s="28"/>
      <c r="AF23" s="28"/>
      <c r="AG23" s="28"/>
      <c r="AH23" s="28"/>
    </row>
    <row r="24" spans="2:34" s="7" customFormat="1" ht="10" customHeight="1" x14ac:dyDescent="0.35">
      <c r="B24"/>
      <c r="J24" s="75" t="s">
        <v>1</v>
      </c>
      <c r="K24" s="76"/>
      <c r="L24" s="76"/>
      <c r="M24" s="76"/>
      <c r="N24" s="76"/>
      <c r="O24" s="77"/>
      <c r="P24" s="75" t="s">
        <v>2</v>
      </c>
      <c r="Q24" s="77"/>
      <c r="AE24" s="28"/>
      <c r="AF24" s="28"/>
      <c r="AG24" s="28"/>
      <c r="AH24" s="28"/>
    </row>
    <row r="25" spans="2:34" s="7" customFormat="1" ht="10" customHeight="1" thickBot="1" x14ac:dyDescent="0.4">
      <c r="B25"/>
      <c r="J25" s="78" t="s">
        <v>147</v>
      </c>
      <c r="K25" s="79"/>
      <c r="L25" s="79"/>
      <c r="M25" s="79"/>
      <c r="N25" s="79"/>
      <c r="O25" s="80"/>
      <c r="P25" s="75" t="s">
        <v>146</v>
      </c>
      <c r="Q25" s="77"/>
      <c r="AE25" s="28"/>
      <c r="AF25" s="28"/>
      <c r="AG25" s="28"/>
      <c r="AH25" s="28"/>
    </row>
    <row r="26" spans="2:34" s="7" customFormat="1" ht="10" customHeight="1" x14ac:dyDescent="0.35">
      <c r="B26"/>
      <c r="P26" s="75" t="s">
        <v>150</v>
      </c>
      <c r="Q26" s="77"/>
      <c r="AE26" s="28"/>
      <c r="AF26" s="28"/>
      <c r="AG26" s="28"/>
      <c r="AH26" s="28"/>
    </row>
    <row r="27" spans="2:34" s="7" customFormat="1" ht="10" customHeight="1" x14ac:dyDescent="0.35">
      <c r="B27"/>
      <c r="P27" s="75" t="s">
        <v>3</v>
      </c>
      <c r="Q27" s="77"/>
      <c r="AE27" s="28"/>
      <c r="AF27" s="28"/>
      <c r="AG27" s="28"/>
      <c r="AH27" s="28"/>
    </row>
    <row r="28" spans="2:34" s="7" customFormat="1" ht="10" customHeight="1" x14ac:dyDescent="0.35">
      <c r="B28"/>
      <c r="P28" s="75" t="s">
        <v>4</v>
      </c>
      <c r="Q28" s="77"/>
      <c r="AE28" s="28"/>
      <c r="AF28" s="28"/>
      <c r="AG28" s="28"/>
      <c r="AH28" s="28"/>
    </row>
    <row r="29" spans="2:34" s="7" customFormat="1" ht="10" customHeight="1" x14ac:dyDescent="0.35">
      <c r="B29"/>
      <c r="P29" s="75" t="s">
        <v>1</v>
      </c>
      <c r="Q29" s="77"/>
      <c r="AE29" s="28"/>
      <c r="AF29" s="28"/>
      <c r="AG29" s="28"/>
      <c r="AH29" s="28"/>
    </row>
    <row r="30" spans="2:34" s="7" customFormat="1" ht="10" customHeight="1" x14ac:dyDescent="0.35">
      <c r="B30"/>
      <c r="P30" s="75" t="s">
        <v>147</v>
      </c>
      <c r="Q30" s="77"/>
      <c r="AE30" s="28"/>
      <c r="AF30" s="28"/>
      <c r="AG30" s="28"/>
      <c r="AH30" s="28"/>
    </row>
    <row r="31" spans="2:34" s="7" customFormat="1" ht="10" customHeight="1" x14ac:dyDescent="0.35">
      <c r="B31"/>
      <c r="P31" s="75" t="s">
        <v>10</v>
      </c>
      <c r="Q31" s="77"/>
      <c r="AE31" s="28"/>
      <c r="AF31" s="28"/>
      <c r="AG31" s="28"/>
      <c r="AH31" s="28"/>
    </row>
    <row r="32" spans="2:34" s="7" customFormat="1" ht="10" customHeight="1" x14ac:dyDescent="0.35">
      <c r="B32"/>
      <c r="P32" s="75" t="s">
        <v>157</v>
      </c>
      <c r="Q32" s="77"/>
      <c r="AE32" s="28"/>
      <c r="AF32" s="28"/>
      <c r="AG32" s="28"/>
      <c r="AH32" s="28"/>
    </row>
    <row r="33" spans="2:34" s="7" customFormat="1" ht="10" customHeight="1" x14ac:dyDescent="0.35">
      <c r="B33"/>
      <c r="P33" s="75" t="s">
        <v>6</v>
      </c>
      <c r="Q33" s="77"/>
      <c r="AE33" s="28"/>
      <c r="AF33" s="28"/>
      <c r="AG33" s="28"/>
      <c r="AH33" s="28"/>
    </row>
    <row r="34" spans="2:34" s="7" customFormat="1" ht="10" customHeight="1" x14ac:dyDescent="0.35">
      <c r="B34"/>
      <c r="P34" s="75" t="s">
        <v>8</v>
      </c>
      <c r="Q34" s="77"/>
      <c r="AE34" s="28"/>
      <c r="AF34" s="28"/>
      <c r="AG34" s="28"/>
      <c r="AH34" s="28"/>
    </row>
    <row r="35" spans="2:34" s="7" customFormat="1" ht="10" customHeight="1" x14ac:dyDescent="0.35">
      <c r="B35"/>
      <c r="P35" s="75" t="s">
        <v>11</v>
      </c>
      <c r="Q35" s="77"/>
      <c r="AE35" s="28"/>
      <c r="AF35" s="28"/>
      <c r="AG35" s="28"/>
      <c r="AH35" s="28"/>
    </row>
    <row r="36" spans="2:34" s="7" customFormat="1" ht="10" customHeight="1" x14ac:dyDescent="0.35">
      <c r="B36"/>
      <c r="P36" s="75" t="s">
        <v>9</v>
      </c>
      <c r="Q36" s="77"/>
      <c r="AE36" s="28"/>
      <c r="AF36" s="28"/>
      <c r="AG36" s="28"/>
      <c r="AH36" s="28"/>
    </row>
    <row r="37" spans="2:34" s="7" customFormat="1" ht="10" customHeight="1" thickBot="1" x14ac:dyDescent="0.4">
      <c r="B37"/>
      <c r="P37" s="78" t="s">
        <v>158</v>
      </c>
      <c r="Q37" s="80"/>
      <c r="AE37" s="28"/>
      <c r="AF37" s="28"/>
      <c r="AG37" s="28"/>
      <c r="AH37" s="28"/>
    </row>
    <row r="38" spans="2:34" s="7" customFormat="1" ht="10" customHeight="1" x14ac:dyDescent="0.35">
      <c r="B38"/>
      <c r="AE38" s="28"/>
      <c r="AF38" s="28"/>
      <c r="AG38" s="28"/>
      <c r="AH38" s="28"/>
    </row>
    <row r="39" spans="2:34" s="7" customFormat="1" ht="10" customHeight="1" thickBot="1" x14ac:dyDescent="0.4">
      <c r="B39"/>
      <c r="D39" s="25">
        <v>0.375</v>
      </c>
      <c r="E39" s="25">
        <v>0.38541666666666669</v>
      </c>
      <c r="F39" s="25">
        <v>0.39583333333333298</v>
      </c>
      <c r="G39" s="25">
        <v>0.40625</v>
      </c>
      <c r="H39" s="25">
        <v>0.41666666666666702</v>
      </c>
      <c r="I39" s="25">
        <v>0.4236111111111111</v>
      </c>
      <c r="J39" s="25">
        <v>0.43055555555555558</v>
      </c>
      <c r="K39" s="25">
        <v>0.4375</v>
      </c>
      <c r="L39" s="25">
        <v>0.44444444444444442</v>
      </c>
      <c r="M39" s="25">
        <v>0.45833333333333331</v>
      </c>
      <c r="N39" s="25">
        <v>0.47222222222222227</v>
      </c>
      <c r="O39" s="25">
        <v>0.4861111111111111</v>
      </c>
      <c r="P39" s="25">
        <v>0.5</v>
      </c>
      <c r="Q39" s="25">
        <v>0.51041666666666663</v>
      </c>
      <c r="R39" s="25">
        <v>0.52083333333333337</v>
      </c>
      <c r="S39" s="25">
        <v>0.53125</v>
      </c>
      <c r="T39" s="25">
        <v>0.54166666666666663</v>
      </c>
      <c r="U39" s="25">
        <v>0.55555555555555558</v>
      </c>
      <c r="V39" s="25">
        <v>0.56944444444444442</v>
      </c>
      <c r="W39" s="25">
        <v>0.58333333333333337</v>
      </c>
      <c r="X39" s="25">
        <v>0.59722222222222221</v>
      </c>
      <c r="Y39" s="25">
        <v>0.61111111111111105</v>
      </c>
      <c r="Z39" s="25">
        <v>0.625</v>
      </c>
      <c r="AA39" s="25">
        <v>0.63888888888888895</v>
      </c>
      <c r="AE39" s="28"/>
      <c r="AF39" s="28"/>
      <c r="AG39" s="28"/>
      <c r="AH39" s="28"/>
    </row>
    <row r="40" spans="2:34" s="7" customFormat="1" ht="10" customHeight="1" thickBot="1" x14ac:dyDescent="0.4">
      <c r="B40"/>
      <c r="D40" s="45" t="s">
        <v>159</v>
      </c>
      <c r="E40" s="47"/>
      <c r="F40" s="45" t="s">
        <v>204</v>
      </c>
      <c r="G40" s="47"/>
      <c r="H40" s="45" t="s">
        <v>78</v>
      </c>
      <c r="I40" s="47"/>
      <c r="J40" s="43" t="s">
        <v>109</v>
      </c>
      <c r="K40" s="46"/>
      <c r="L40" s="44"/>
      <c r="M40" s="43" t="s">
        <v>110</v>
      </c>
      <c r="N40" s="46"/>
      <c r="O40" s="44"/>
      <c r="P40" s="45" t="s">
        <v>112</v>
      </c>
      <c r="Q40" s="47"/>
      <c r="R40" s="45" t="s">
        <v>113</v>
      </c>
      <c r="S40" s="46"/>
      <c r="T40" s="43" t="s">
        <v>111</v>
      </c>
      <c r="U40" s="44"/>
      <c r="V40" s="43" t="s">
        <v>114</v>
      </c>
      <c r="W40" s="44"/>
      <c r="X40" s="43" t="s">
        <v>205</v>
      </c>
      <c r="Y40" s="44"/>
      <c r="Z40" s="26" t="s">
        <v>206</v>
      </c>
      <c r="AA40" s="27"/>
      <c r="AE40" s="28"/>
      <c r="AF40" s="28"/>
      <c r="AG40" s="28"/>
      <c r="AH40" s="28"/>
    </row>
    <row r="41" spans="2:34" s="7" customFormat="1" ht="10" customHeight="1" x14ac:dyDescent="0.35">
      <c r="B41"/>
      <c r="C41" s="7" t="s">
        <v>117</v>
      </c>
      <c r="T41" s="72" t="s">
        <v>0</v>
      </c>
      <c r="U41" s="73"/>
      <c r="V41" s="73"/>
      <c r="W41" s="73"/>
      <c r="X41" s="73"/>
      <c r="Y41" s="73"/>
      <c r="Z41" s="74"/>
      <c r="AB41" s="7">
        <v>2.3299999237060547</v>
      </c>
      <c r="AE41" s="28"/>
      <c r="AF41" s="28"/>
      <c r="AG41" s="28"/>
      <c r="AH41" s="28"/>
    </row>
    <row r="42" spans="2:34" s="7" customFormat="1" ht="10" customHeight="1" x14ac:dyDescent="0.35">
      <c r="B42"/>
      <c r="T42" s="75" t="s">
        <v>141</v>
      </c>
      <c r="U42" s="76"/>
      <c r="V42" s="76"/>
      <c r="W42" s="76"/>
      <c r="X42" s="76"/>
      <c r="Y42" s="76"/>
      <c r="Z42" s="77"/>
      <c r="AE42" s="28"/>
      <c r="AF42" s="28"/>
      <c r="AG42" s="28"/>
      <c r="AH42" s="28"/>
    </row>
    <row r="43" spans="2:34" s="7" customFormat="1" ht="10" customHeight="1" x14ac:dyDescent="0.35">
      <c r="B43"/>
      <c r="T43" s="75" t="s">
        <v>117</v>
      </c>
      <c r="U43" s="76"/>
      <c r="V43" s="76"/>
      <c r="W43" s="76"/>
      <c r="X43" s="76"/>
      <c r="Y43" s="76"/>
      <c r="Z43" s="77"/>
      <c r="AE43" s="28"/>
      <c r="AF43" s="28"/>
      <c r="AG43" s="28"/>
      <c r="AH43" s="28"/>
    </row>
    <row r="44" spans="2:34" s="7" customFormat="1" ht="10" customHeight="1" x14ac:dyDescent="0.35">
      <c r="B44"/>
      <c r="T44" s="75" t="s">
        <v>118</v>
      </c>
      <c r="U44" s="76"/>
      <c r="V44" s="76"/>
      <c r="W44" s="76"/>
      <c r="X44" s="76"/>
      <c r="Y44" s="76"/>
      <c r="Z44" s="77"/>
      <c r="AE44" s="28"/>
      <c r="AF44" s="28"/>
      <c r="AG44" s="28"/>
      <c r="AH44" s="28"/>
    </row>
    <row r="45" spans="2:34" s="7" customFormat="1" ht="10" customHeight="1" x14ac:dyDescent="0.35">
      <c r="B45"/>
      <c r="T45" s="75" t="s">
        <v>69</v>
      </c>
      <c r="U45" s="76"/>
      <c r="V45" s="76"/>
      <c r="W45" s="76"/>
      <c r="X45" s="76"/>
      <c r="Y45" s="76"/>
      <c r="Z45" s="77"/>
      <c r="AE45" s="28"/>
      <c r="AF45" s="28"/>
      <c r="AG45" s="28"/>
      <c r="AH45" s="28"/>
    </row>
    <row r="46" spans="2:34" s="7" customFormat="1" ht="10" customHeight="1" x14ac:dyDescent="0.35">
      <c r="B46"/>
      <c r="T46" s="75" t="s">
        <v>70</v>
      </c>
      <c r="U46" s="76"/>
      <c r="V46" s="76"/>
      <c r="W46" s="76"/>
      <c r="X46" s="76"/>
      <c r="Y46" s="76"/>
      <c r="Z46" s="77"/>
      <c r="AE46" s="28"/>
      <c r="AF46" s="28"/>
      <c r="AG46" s="28"/>
      <c r="AH46" s="28"/>
    </row>
    <row r="47" spans="2:34" s="7" customFormat="1" ht="10" customHeight="1" x14ac:dyDescent="0.35">
      <c r="B47"/>
      <c r="T47" s="75"/>
      <c r="U47" s="76"/>
      <c r="V47" s="76"/>
      <c r="W47" s="76"/>
      <c r="X47" s="76"/>
      <c r="Y47" s="76"/>
      <c r="Z47" s="77"/>
      <c r="AE47" s="28"/>
      <c r="AF47" s="28"/>
      <c r="AG47" s="28"/>
      <c r="AH47" s="28"/>
    </row>
    <row r="48" spans="2:34" s="7" customFormat="1" ht="10" customHeight="1" x14ac:dyDescent="0.35">
      <c r="B48"/>
      <c r="T48" s="75" t="s">
        <v>3</v>
      </c>
      <c r="U48" s="76"/>
      <c r="V48" s="76"/>
      <c r="W48" s="76"/>
      <c r="X48" s="76"/>
      <c r="Y48" s="76"/>
      <c r="Z48" s="77"/>
      <c r="AE48" s="28"/>
      <c r="AF48" s="28"/>
      <c r="AG48" s="28"/>
      <c r="AH48" s="28"/>
    </row>
    <row r="49" spans="2:34" s="7" customFormat="1" ht="10" customHeight="1" x14ac:dyDescent="0.35">
      <c r="B49"/>
      <c r="T49" s="75" t="s">
        <v>4</v>
      </c>
      <c r="U49" s="76"/>
      <c r="V49" s="76"/>
      <c r="W49" s="76"/>
      <c r="X49" s="76"/>
      <c r="Y49" s="76"/>
      <c r="Z49" s="77"/>
      <c r="AE49" s="28"/>
      <c r="AF49" s="28"/>
      <c r="AG49" s="28"/>
      <c r="AH49" s="28"/>
    </row>
    <row r="50" spans="2:34" s="7" customFormat="1" ht="10" customHeight="1" x14ac:dyDescent="0.35">
      <c r="B50"/>
      <c r="T50" s="75" t="s">
        <v>1</v>
      </c>
      <c r="U50" s="76"/>
      <c r="V50" s="76"/>
      <c r="W50" s="76"/>
      <c r="X50" s="76"/>
      <c r="Y50" s="76"/>
      <c r="Z50" s="77"/>
      <c r="AE50" s="28"/>
      <c r="AF50" s="28"/>
      <c r="AG50" s="28"/>
      <c r="AH50" s="28"/>
    </row>
    <row r="51" spans="2:34" s="7" customFormat="1" ht="10" customHeight="1" thickBot="1" x14ac:dyDescent="0.4">
      <c r="B51"/>
      <c r="T51" s="78" t="s">
        <v>147</v>
      </c>
      <c r="U51" s="79"/>
      <c r="V51" s="79"/>
      <c r="W51" s="79"/>
      <c r="X51" s="79"/>
      <c r="Y51" s="79"/>
      <c r="Z51" s="80"/>
      <c r="AE51" s="28"/>
      <c r="AF51" s="28"/>
      <c r="AG51" s="28"/>
      <c r="AH51" s="28"/>
    </row>
    <row r="52" spans="2:34" s="7" customFormat="1" ht="10" customHeight="1" x14ac:dyDescent="0.35">
      <c r="B52"/>
      <c r="AE52" s="28"/>
      <c r="AF52" s="28"/>
      <c r="AG52" s="28"/>
      <c r="AH52" s="28"/>
    </row>
    <row r="53" spans="2:34" s="7" customFormat="1" ht="10" customHeight="1" thickBot="1" x14ac:dyDescent="0.4">
      <c r="B53"/>
      <c r="D53" s="25">
        <v>0.375</v>
      </c>
      <c r="E53" s="25">
        <v>0.38541666666666669</v>
      </c>
      <c r="F53" s="25">
        <v>0.39583333333333298</v>
      </c>
      <c r="G53" s="25">
        <v>0.40625</v>
      </c>
      <c r="H53" s="25">
        <v>0.41666666666666702</v>
      </c>
      <c r="I53" s="25">
        <v>0.4236111111111111</v>
      </c>
      <c r="J53" s="25">
        <v>0.43055555555555558</v>
      </c>
      <c r="K53" s="25">
        <v>0.4375</v>
      </c>
      <c r="L53" s="25">
        <v>0.44444444444444442</v>
      </c>
      <c r="M53" s="25">
        <v>0.45833333333333331</v>
      </c>
      <c r="N53" s="25">
        <v>0.47222222222222227</v>
      </c>
      <c r="O53" s="25">
        <v>0.4861111111111111</v>
      </c>
      <c r="P53" s="25">
        <v>0.5</v>
      </c>
      <c r="Q53" s="25">
        <v>0.51041666666666663</v>
      </c>
      <c r="R53" s="25">
        <v>0.52083333333333337</v>
      </c>
      <c r="S53" s="25">
        <v>0.53125</v>
      </c>
      <c r="T53" s="25">
        <v>0.54166666666666663</v>
      </c>
      <c r="U53" s="25">
        <v>0.55555555555555558</v>
      </c>
      <c r="V53" s="25">
        <v>0.56944444444444442</v>
      </c>
      <c r="W53" s="25">
        <v>0.58333333333333337</v>
      </c>
      <c r="X53" s="25">
        <v>0.59722222222222221</v>
      </c>
      <c r="Y53" s="25">
        <v>0.61111111111111105</v>
      </c>
      <c r="Z53" s="25">
        <v>0.625</v>
      </c>
      <c r="AA53" s="25">
        <v>0.63888888888888895</v>
      </c>
      <c r="AE53" s="28"/>
      <c r="AF53" s="28"/>
      <c r="AG53" s="28"/>
      <c r="AH53" s="28"/>
    </row>
    <row r="54" spans="2:34" s="7" customFormat="1" ht="10" customHeight="1" thickBot="1" x14ac:dyDescent="0.4">
      <c r="B54"/>
      <c r="D54" s="45" t="s">
        <v>159</v>
      </c>
      <c r="E54" s="47"/>
      <c r="F54" s="45" t="s">
        <v>204</v>
      </c>
      <c r="G54" s="47"/>
      <c r="H54" s="45" t="s">
        <v>78</v>
      </c>
      <c r="I54" s="47"/>
      <c r="J54" s="43" t="s">
        <v>109</v>
      </c>
      <c r="K54" s="46"/>
      <c r="L54" s="44"/>
      <c r="M54" s="43" t="s">
        <v>110</v>
      </c>
      <c r="N54" s="46"/>
      <c r="O54" s="44"/>
      <c r="P54" s="45" t="s">
        <v>112</v>
      </c>
      <c r="Q54" s="47"/>
      <c r="R54" s="45" t="s">
        <v>113</v>
      </c>
      <c r="S54" s="46"/>
      <c r="T54" s="43" t="s">
        <v>111</v>
      </c>
      <c r="U54" s="44"/>
      <c r="V54" s="43" t="s">
        <v>114</v>
      </c>
      <c r="W54" s="44"/>
      <c r="X54" s="43" t="s">
        <v>205</v>
      </c>
      <c r="Y54" s="44"/>
      <c r="Z54" s="26" t="s">
        <v>206</v>
      </c>
      <c r="AA54" s="27"/>
      <c r="AE54" s="28"/>
      <c r="AF54" s="28"/>
      <c r="AG54" s="28"/>
      <c r="AH54" s="28"/>
    </row>
    <row r="55" spans="2:34" s="7" customFormat="1" ht="10" customHeight="1" x14ac:dyDescent="0.35">
      <c r="B55"/>
      <c r="C55" s="7" t="s">
        <v>118</v>
      </c>
      <c r="F55" s="72" t="s">
        <v>98</v>
      </c>
      <c r="G55" s="73"/>
      <c r="H55" s="81" t="s">
        <v>78</v>
      </c>
      <c r="I55" s="74"/>
      <c r="T55" s="72" t="s">
        <v>0</v>
      </c>
      <c r="U55" s="73"/>
      <c r="V55" s="73"/>
      <c r="W55" s="73"/>
      <c r="X55" s="73"/>
      <c r="Y55" s="73"/>
      <c r="Z55" s="74"/>
      <c r="AB55" s="7">
        <v>3.1599998474121094</v>
      </c>
      <c r="AE55" s="28"/>
      <c r="AF55" s="28"/>
      <c r="AG55" s="28"/>
      <c r="AH55" s="28"/>
    </row>
    <row r="56" spans="2:34" s="7" customFormat="1" ht="10" customHeight="1" x14ac:dyDescent="0.35">
      <c r="B56"/>
      <c r="F56" s="75" t="s">
        <v>143</v>
      </c>
      <c r="G56" s="76"/>
      <c r="H56" s="82" t="s">
        <v>187</v>
      </c>
      <c r="I56" s="77"/>
      <c r="T56" s="75" t="s">
        <v>141</v>
      </c>
      <c r="U56" s="76"/>
      <c r="V56" s="76"/>
      <c r="W56" s="76"/>
      <c r="X56" s="76"/>
      <c r="Y56" s="76"/>
      <c r="Z56" s="77"/>
      <c r="AE56" s="28"/>
      <c r="AF56" s="28"/>
      <c r="AG56" s="28"/>
      <c r="AH56" s="28"/>
    </row>
    <row r="57" spans="2:34" s="7" customFormat="1" ht="10" customHeight="1" x14ac:dyDescent="0.35">
      <c r="B57"/>
      <c r="F57" s="75" t="s">
        <v>118</v>
      </c>
      <c r="G57" s="76"/>
      <c r="H57" s="82" t="s">
        <v>83</v>
      </c>
      <c r="I57" s="77"/>
      <c r="T57" s="75" t="s">
        <v>117</v>
      </c>
      <c r="U57" s="76"/>
      <c r="V57" s="76"/>
      <c r="W57" s="76"/>
      <c r="X57" s="76"/>
      <c r="Y57" s="76"/>
      <c r="Z57" s="77"/>
      <c r="AE57" s="28"/>
      <c r="AF57" s="28"/>
      <c r="AG57" s="28"/>
      <c r="AH57" s="28"/>
    </row>
    <row r="58" spans="2:34" s="7" customFormat="1" ht="10" customHeight="1" x14ac:dyDescent="0.35">
      <c r="B58"/>
      <c r="F58" s="75" t="s">
        <v>72</v>
      </c>
      <c r="G58" s="76"/>
      <c r="H58" s="82" t="s">
        <v>118</v>
      </c>
      <c r="I58" s="77"/>
      <c r="T58" s="75" t="s">
        <v>118</v>
      </c>
      <c r="U58" s="76"/>
      <c r="V58" s="76"/>
      <c r="W58" s="76"/>
      <c r="X58" s="76"/>
      <c r="Y58" s="76"/>
      <c r="Z58" s="77"/>
      <c r="AE58" s="28"/>
      <c r="AF58" s="28"/>
      <c r="AG58" s="28"/>
      <c r="AH58" s="28"/>
    </row>
    <row r="59" spans="2:34" s="7" customFormat="1" ht="10" customHeight="1" x14ac:dyDescent="0.35">
      <c r="B59"/>
      <c r="F59" s="75" t="s">
        <v>81</v>
      </c>
      <c r="G59" s="76"/>
      <c r="H59" s="82"/>
      <c r="I59" s="77"/>
      <c r="T59" s="75" t="s">
        <v>69</v>
      </c>
      <c r="U59" s="76"/>
      <c r="V59" s="76"/>
      <c r="W59" s="76"/>
      <c r="X59" s="76"/>
      <c r="Y59" s="76"/>
      <c r="Z59" s="77"/>
      <c r="AE59" s="28"/>
      <c r="AF59" s="28"/>
      <c r="AG59" s="28"/>
      <c r="AH59" s="28"/>
    </row>
    <row r="60" spans="2:34" s="7" customFormat="1" ht="10" customHeight="1" x14ac:dyDescent="0.35">
      <c r="B60"/>
      <c r="F60" s="75" t="s">
        <v>190</v>
      </c>
      <c r="G60" s="76"/>
      <c r="H60" s="82" t="s">
        <v>148</v>
      </c>
      <c r="I60" s="77"/>
      <c r="T60" s="75" t="s">
        <v>70</v>
      </c>
      <c r="U60" s="76"/>
      <c r="V60" s="76"/>
      <c r="W60" s="76"/>
      <c r="X60" s="76"/>
      <c r="Y60" s="76"/>
      <c r="Z60" s="77"/>
      <c r="AE60" s="28"/>
      <c r="AF60" s="28"/>
      <c r="AG60" s="28"/>
      <c r="AH60" s="28"/>
    </row>
    <row r="61" spans="2:34" s="7" customFormat="1" ht="10" customHeight="1" x14ac:dyDescent="0.35">
      <c r="B61"/>
      <c r="F61" s="75" t="s">
        <v>70</v>
      </c>
      <c r="G61" s="76"/>
      <c r="H61" s="82" t="s">
        <v>2</v>
      </c>
      <c r="I61" s="77"/>
      <c r="T61" s="75"/>
      <c r="U61" s="76"/>
      <c r="V61" s="76"/>
      <c r="W61" s="76"/>
      <c r="X61" s="76"/>
      <c r="Y61" s="76"/>
      <c r="Z61" s="77"/>
      <c r="AE61" s="28"/>
      <c r="AF61" s="28"/>
      <c r="AG61" s="28"/>
      <c r="AH61" s="28"/>
    </row>
    <row r="62" spans="2:34" s="7" customFormat="1" ht="10" customHeight="1" x14ac:dyDescent="0.35">
      <c r="B62"/>
      <c r="F62" s="75"/>
      <c r="G62" s="76"/>
      <c r="H62" s="82" t="s">
        <v>146</v>
      </c>
      <c r="I62" s="77"/>
      <c r="T62" s="75" t="s">
        <v>3</v>
      </c>
      <c r="U62" s="76"/>
      <c r="V62" s="76"/>
      <c r="W62" s="76"/>
      <c r="X62" s="76"/>
      <c r="Y62" s="76"/>
      <c r="Z62" s="77"/>
      <c r="AE62" s="28"/>
      <c r="AF62" s="28"/>
      <c r="AG62" s="28"/>
      <c r="AH62" s="28"/>
    </row>
    <row r="63" spans="2:34" s="7" customFormat="1" ht="10" customHeight="1" x14ac:dyDescent="0.35">
      <c r="B63"/>
      <c r="F63" s="75" t="s">
        <v>2</v>
      </c>
      <c r="G63" s="76"/>
      <c r="H63" s="82" t="s">
        <v>150</v>
      </c>
      <c r="I63" s="77"/>
      <c r="T63" s="75" t="s">
        <v>4</v>
      </c>
      <c r="U63" s="76"/>
      <c r="V63" s="76"/>
      <c r="W63" s="76"/>
      <c r="X63" s="76"/>
      <c r="Y63" s="76"/>
      <c r="Z63" s="77"/>
      <c r="AE63" s="28"/>
      <c r="AF63" s="28"/>
      <c r="AG63" s="28"/>
      <c r="AH63" s="28"/>
    </row>
    <row r="64" spans="2:34" s="7" customFormat="1" ht="10" customHeight="1" x14ac:dyDescent="0.35">
      <c r="B64"/>
      <c r="F64" s="75" t="s">
        <v>4</v>
      </c>
      <c r="G64" s="76"/>
      <c r="H64" s="82" t="s">
        <v>3</v>
      </c>
      <c r="I64" s="77"/>
      <c r="T64" s="75" t="s">
        <v>1</v>
      </c>
      <c r="U64" s="76"/>
      <c r="V64" s="76"/>
      <c r="W64" s="76"/>
      <c r="X64" s="76"/>
      <c r="Y64" s="76"/>
      <c r="Z64" s="77"/>
      <c r="AE64" s="28"/>
      <c r="AF64" s="28"/>
      <c r="AG64" s="28"/>
      <c r="AH64" s="28"/>
    </row>
    <row r="65" spans="2:34" s="7" customFormat="1" ht="10" customHeight="1" thickBot="1" x14ac:dyDescent="0.4">
      <c r="B65"/>
      <c r="F65" s="75" t="s">
        <v>1</v>
      </c>
      <c r="G65" s="76"/>
      <c r="H65" s="82" t="s">
        <v>4</v>
      </c>
      <c r="I65" s="77"/>
      <c r="T65" s="78" t="s">
        <v>147</v>
      </c>
      <c r="U65" s="79"/>
      <c r="V65" s="79"/>
      <c r="W65" s="79"/>
      <c r="X65" s="79"/>
      <c r="Y65" s="79"/>
      <c r="Z65" s="80"/>
      <c r="AE65" s="28"/>
      <c r="AF65" s="28"/>
      <c r="AG65" s="28"/>
      <c r="AH65" s="28"/>
    </row>
    <row r="66" spans="2:34" s="7" customFormat="1" ht="10" customHeight="1" x14ac:dyDescent="0.35">
      <c r="B66"/>
      <c r="F66" s="75" t="s">
        <v>147</v>
      </c>
      <c r="G66" s="76"/>
      <c r="H66" s="82" t="s">
        <v>1</v>
      </c>
      <c r="I66" s="77"/>
      <c r="AE66" s="28"/>
      <c r="AF66" s="28"/>
      <c r="AG66" s="28"/>
      <c r="AH66" s="28"/>
    </row>
    <row r="67" spans="2:34" s="7" customFormat="1" ht="10" customHeight="1" x14ac:dyDescent="0.35">
      <c r="B67"/>
      <c r="F67" s="75" t="s">
        <v>10</v>
      </c>
      <c r="G67" s="76"/>
      <c r="H67" s="82" t="s">
        <v>147</v>
      </c>
      <c r="I67" s="77"/>
      <c r="AE67" s="28"/>
      <c r="AF67" s="28"/>
      <c r="AG67" s="28"/>
      <c r="AH67" s="28"/>
    </row>
    <row r="68" spans="2:34" s="7" customFormat="1" ht="10" customHeight="1" x14ac:dyDescent="0.35">
      <c r="B68"/>
      <c r="F68" s="75" t="s">
        <v>9</v>
      </c>
      <c r="G68" s="76"/>
      <c r="H68" s="82" t="s">
        <v>10</v>
      </c>
      <c r="I68" s="77"/>
      <c r="AE68" s="28"/>
      <c r="AF68" s="28"/>
      <c r="AG68" s="28"/>
      <c r="AH68" s="28"/>
    </row>
    <row r="69" spans="2:34" s="7" customFormat="1" ht="10" customHeight="1" thickBot="1" x14ac:dyDescent="0.4">
      <c r="B69"/>
      <c r="F69" s="78" t="s">
        <v>158</v>
      </c>
      <c r="G69" s="79"/>
      <c r="H69" s="82" t="s">
        <v>157</v>
      </c>
      <c r="I69" s="77"/>
      <c r="AE69" s="28"/>
      <c r="AF69" s="28"/>
      <c r="AG69" s="28"/>
      <c r="AH69" s="28"/>
    </row>
    <row r="70" spans="2:34" s="7" customFormat="1" ht="10" customHeight="1" x14ac:dyDescent="0.35">
      <c r="B70"/>
      <c r="H70" s="82" t="s">
        <v>8</v>
      </c>
      <c r="I70" s="77"/>
      <c r="AE70" s="28"/>
      <c r="AF70" s="28"/>
      <c r="AG70" s="28"/>
      <c r="AH70" s="28"/>
    </row>
    <row r="71" spans="2:34" s="7" customFormat="1" ht="10" customHeight="1" x14ac:dyDescent="0.35">
      <c r="B71"/>
      <c r="H71" s="82" t="s">
        <v>11</v>
      </c>
      <c r="I71" s="77"/>
      <c r="AE71" s="28"/>
      <c r="AF71" s="28"/>
      <c r="AG71" s="28"/>
      <c r="AH71" s="28"/>
    </row>
    <row r="72" spans="2:34" s="7" customFormat="1" ht="10" customHeight="1" x14ac:dyDescent="0.35">
      <c r="B72"/>
      <c r="H72" s="82" t="s">
        <v>9</v>
      </c>
      <c r="I72" s="77"/>
      <c r="AE72" s="28"/>
      <c r="AF72" s="28"/>
      <c r="AG72" s="28"/>
      <c r="AH72" s="28"/>
    </row>
    <row r="73" spans="2:34" s="7" customFormat="1" ht="10" customHeight="1" thickBot="1" x14ac:dyDescent="0.4">
      <c r="B73"/>
      <c r="H73" s="83" t="s">
        <v>158</v>
      </c>
      <c r="I73" s="80"/>
      <c r="AE73" s="28"/>
      <c r="AF73" s="28"/>
      <c r="AG73" s="28"/>
      <c r="AH73" s="28"/>
    </row>
    <row r="74" spans="2:34" s="7" customFormat="1" ht="10" customHeight="1" x14ac:dyDescent="0.35">
      <c r="B74"/>
      <c r="AE74" s="28"/>
      <c r="AF74" s="28"/>
      <c r="AG74" s="28"/>
      <c r="AH74" s="28"/>
    </row>
    <row r="75" spans="2:34" s="7" customFormat="1" ht="10" customHeight="1" thickBot="1" x14ac:dyDescent="0.4">
      <c r="B75"/>
      <c r="D75" s="25">
        <v>0.375</v>
      </c>
      <c r="E75" s="25">
        <v>0.38541666666666669</v>
      </c>
      <c r="F75" s="25">
        <v>0.39583333333333298</v>
      </c>
      <c r="G75" s="25">
        <v>0.40625</v>
      </c>
      <c r="H75" s="25">
        <v>0.41666666666666702</v>
      </c>
      <c r="I75" s="25">
        <v>0.4236111111111111</v>
      </c>
      <c r="J75" s="25">
        <v>0.43055555555555558</v>
      </c>
      <c r="K75" s="25">
        <v>0.4375</v>
      </c>
      <c r="L75" s="25">
        <v>0.44444444444444442</v>
      </c>
      <c r="M75" s="25">
        <v>0.45833333333333331</v>
      </c>
      <c r="N75" s="25">
        <v>0.47222222222222227</v>
      </c>
      <c r="O75" s="25">
        <v>0.4861111111111111</v>
      </c>
      <c r="P75" s="25">
        <v>0.5</v>
      </c>
      <c r="Q75" s="25">
        <v>0.51041666666666663</v>
      </c>
      <c r="R75" s="25">
        <v>0.52083333333333337</v>
      </c>
      <c r="S75" s="25">
        <v>0.53125</v>
      </c>
      <c r="T75" s="25">
        <v>0.54166666666666663</v>
      </c>
      <c r="U75" s="25">
        <v>0.55555555555555558</v>
      </c>
      <c r="V75" s="25">
        <v>0.56944444444444442</v>
      </c>
      <c r="W75" s="25">
        <v>0.58333333333333337</v>
      </c>
      <c r="X75" s="25">
        <v>0.59722222222222221</v>
      </c>
      <c r="Y75" s="25">
        <v>0.61111111111111105</v>
      </c>
      <c r="Z75" s="25">
        <v>0.625</v>
      </c>
      <c r="AA75" s="25">
        <v>0.63888888888888895</v>
      </c>
      <c r="AE75" s="28"/>
      <c r="AF75" s="28"/>
      <c r="AG75" s="28"/>
      <c r="AH75" s="28"/>
    </row>
    <row r="76" spans="2:34" s="7" customFormat="1" ht="10" customHeight="1" thickBot="1" x14ac:dyDescent="0.4">
      <c r="B76"/>
      <c r="D76" s="45" t="s">
        <v>159</v>
      </c>
      <c r="E76" s="47"/>
      <c r="F76" s="45" t="s">
        <v>204</v>
      </c>
      <c r="G76" s="47"/>
      <c r="H76" s="45" t="s">
        <v>78</v>
      </c>
      <c r="I76" s="47"/>
      <c r="J76" s="43" t="s">
        <v>109</v>
      </c>
      <c r="K76" s="46"/>
      <c r="L76" s="44"/>
      <c r="M76" s="43" t="s">
        <v>110</v>
      </c>
      <c r="N76" s="46"/>
      <c r="O76" s="44"/>
      <c r="P76" s="45" t="s">
        <v>112</v>
      </c>
      <c r="Q76" s="47"/>
      <c r="R76" s="45" t="s">
        <v>113</v>
      </c>
      <c r="S76" s="46"/>
      <c r="T76" s="43" t="s">
        <v>111</v>
      </c>
      <c r="U76" s="44"/>
      <c r="V76" s="43" t="s">
        <v>114</v>
      </c>
      <c r="W76" s="44"/>
      <c r="X76" s="43" t="s">
        <v>205</v>
      </c>
      <c r="Y76" s="44"/>
      <c r="Z76" s="26" t="s">
        <v>206</v>
      </c>
      <c r="AA76" s="27"/>
      <c r="AE76" s="28"/>
      <c r="AF76" s="28"/>
      <c r="AG76" s="28"/>
      <c r="AH76" s="28"/>
    </row>
    <row r="77" spans="2:34" s="7" customFormat="1" ht="10" customHeight="1" x14ac:dyDescent="0.35">
      <c r="B77"/>
      <c r="C77" s="7" t="s">
        <v>83</v>
      </c>
      <c r="F77" s="72" t="s">
        <v>97</v>
      </c>
      <c r="G77" s="73"/>
      <c r="H77" s="81" t="s">
        <v>78</v>
      </c>
      <c r="I77" s="74"/>
      <c r="J77" s="72" t="s">
        <v>5</v>
      </c>
      <c r="K77" s="73"/>
      <c r="L77" s="74"/>
      <c r="M77" s="72" t="s">
        <v>5</v>
      </c>
      <c r="N77" s="73"/>
      <c r="O77" s="74"/>
      <c r="R77" s="72" t="s">
        <v>169</v>
      </c>
      <c r="S77" s="74"/>
      <c r="T77" s="72" t="s">
        <v>5</v>
      </c>
      <c r="U77" s="73"/>
      <c r="V77" s="73"/>
      <c r="W77" s="73"/>
      <c r="X77" s="73"/>
      <c r="Y77" s="73"/>
      <c r="Z77" s="74"/>
      <c r="AB77" s="7">
        <v>5.3299999237060547</v>
      </c>
      <c r="AE77" s="28"/>
      <c r="AF77" s="28"/>
      <c r="AG77" s="28"/>
      <c r="AH77" s="28"/>
    </row>
    <row r="78" spans="2:34" s="7" customFormat="1" ht="10" customHeight="1" x14ac:dyDescent="0.35">
      <c r="B78"/>
      <c r="F78" s="75" t="s">
        <v>141</v>
      </c>
      <c r="G78" s="76"/>
      <c r="H78" s="82" t="s">
        <v>187</v>
      </c>
      <c r="I78" s="77"/>
      <c r="J78" s="75" t="s">
        <v>142</v>
      </c>
      <c r="K78" s="76"/>
      <c r="L78" s="77"/>
      <c r="M78" s="75" t="s">
        <v>142</v>
      </c>
      <c r="N78" s="76"/>
      <c r="O78" s="77"/>
      <c r="R78" s="75" t="s">
        <v>188</v>
      </c>
      <c r="S78" s="77"/>
      <c r="T78" s="75" t="s">
        <v>142</v>
      </c>
      <c r="U78" s="76"/>
      <c r="V78" s="76"/>
      <c r="W78" s="76"/>
      <c r="X78" s="76"/>
      <c r="Y78" s="76"/>
      <c r="Z78" s="77"/>
      <c r="AE78" s="28"/>
      <c r="AF78" s="28"/>
      <c r="AG78" s="28"/>
      <c r="AH78" s="28"/>
    </row>
    <row r="79" spans="2:34" s="7" customFormat="1" ht="10" customHeight="1" x14ac:dyDescent="0.35">
      <c r="B79"/>
      <c r="F79" s="75" t="s">
        <v>83</v>
      </c>
      <c r="G79" s="76"/>
      <c r="H79" s="82" t="s">
        <v>83</v>
      </c>
      <c r="I79" s="77"/>
      <c r="J79" s="75" t="s">
        <v>83</v>
      </c>
      <c r="K79" s="76"/>
      <c r="L79" s="77"/>
      <c r="M79" s="75" t="s">
        <v>83</v>
      </c>
      <c r="N79" s="76"/>
      <c r="O79" s="77"/>
      <c r="R79" s="75" t="s">
        <v>73</v>
      </c>
      <c r="S79" s="77"/>
      <c r="T79" s="75" t="s">
        <v>83</v>
      </c>
      <c r="U79" s="76"/>
      <c r="V79" s="76"/>
      <c r="W79" s="76"/>
      <c r="X79" s="76"/>
      <c r="Y79" s="76"/>
      <c r="Z79" s="77"/>
      <c r="AE79" s="28"/>
      <c r="AF79" s="28"/>
      <c r="AG79" s="28"/>
      <c r="AH79" s="28"/>
    </row>
    <row r="80" spans="2:34" s="7" customFormat="1" ht="10" customHeight="1" x14ac:dyDescent="0.35">
      <c r="B80"/>
      <c r="F80" s="75" t="s">
        <v>161</v>
      </c>
      <c r="G80" s="76"/>
      <c r="H80" s="82" t="s">
        <v>118</v>
      </c>
      <c r="I80" s="77"/>
      <c r="J80" s="75" t="s">
        <v>218</v>
      </c>
      <c r="K80" s="76"/>
      <c r="L80" s="77"/>
      <c r="M80" s="75" t="s">
        <v>72</v>
      </c>
      <c r="N80" s="76"/>
      <c r="O80" s="77"/>
      <c r="R80" s="75" t="s">
        <v>83</v>
      </c>
      <c r="S80" s="77"/>
      <c r="T80" s="75" t="s">
        <v>72</v>
      </c>
      <c r="U80" s="76"/>
      <c r="V80" s="76"/>
      <c r="W80" s="76"/>
      <c r="X80" s="76"/>
      <c r="Y80" s="76"/>
      <c r="Z80" s="77"/>
      <c r="AE80" s="28"/>
      <c r="AF80" s="28"/>
      <c r="AG80" s="28"/>
      <c r="AH80" s="28"/>
    </row>
    <row r="81" spans="2:34" s="7" customFormat="1" ht="10" customHeight="1" x14ac:dyDescent="0.35">
      <c r="B81"/>
      <c r="F81" s="75" t="s">
        <v>69</v>
      </c>
      <c r="G81" s="76"/>
      <c r="H81" s="82"/>
      <c r="I81" s="77"/>
      <c r="J81" s="75" t="s">
        <v>72</v>
      </c>
      <c r="K81" s="76"/>
      <c r="L81" s="77"/>
      <c r="M81" s="75" t="s">
        <v>161</v>
      </c>
      <c r="N81" s="76"/>
      <c r="O81" s="77"/>
      <c r="R81" s="75" t="s">
        <v>77</v>
      </c>
      <c r="S81" s="77"/>
      <c r="T81" s="75" t="s">
        <v>161</v>
      </c>
      <c r="U81" s="76"/>
      <c r="V81" s="76"/>
      <c r="W81" s="76"/>
      <c r="X81" s="76"/>
      <c r="Y81" s="76"/>
      <c r="Z81" s="77"/>
      <c r="AE81" s="28"/>
      <c r="AF81" s="28"/>
      <c r="AG81" s="28"/>
      <c r="AH81" s="28"/>
    </row>
    <row r="82" spans="2:34" s="7" customFormat="1" ht="10" customHeight="1" x14ac:dyDescent="0.35">
      <c r="B82"/>
      <c r="F82" s="75" t="s">
        <v>99</v>
      </c>
      <c r="G82" s="76"/>
      <c r="H82" s="82" t="s">
        <v>148</v>
      </c>
      <c r="I82" s="77"/>
      <c r="J82" s="75" t="s">
        <v>161</v>
      </c>
      <c r="K82" s="76"/>
      <c r="L82" s="77"/>
      <c r="M82" s="75"/>
      <c r="N82" s="76"/>
      <c r="O82" s="77"/>
      <c r="R82" s="75" t="s">
        <v>161</v>
      </c>
      <c r="S82" s="77"/>
      <c r="T82" s="75"/>
      <c r="U82" s="76"/>
      <c r="V82" s="76"/>
      <c r="W82" s="76"/>
      <c r="X82" s="76"/>
      <c r="Y82" s="76"/>
      <c r="Z82" s="77"/>
      <c r="AE82" s="28"/>
      <c r="AF82" s="28"/>
      <c r="AG82" s="28"/>
      <c r="AH82" s="28"/>
    </row>
    <row r="83" spans="2:34" s="7" customFormat="1" ht="10" customHeight="1" x14ac:dyDescent="0.35">
      <c r="B83"/>
      <c r="F83" s="75" t="s">
        <v>71</v>
      </c>
      <c r="G83" s="76"/>
      <c r="H83" s="82" t="s">
        <v>2</v>
      </c>
      <c r="I83" s="77"/>
      <c r="J83" s="75"/>
      <c r="K83" s="76"/>
      <c r="L83" s="77"/>
      <c r="M83" s="75" t="s">
        <v>148</v>
      </c>
      <c r="N83" s="76"/>
      <c r="O83" s="77"/>
      <c r="R83" s="75" t="s">
        <v>71</v>
      </c>
      <c r="S83" s="77"/>
      <c r="T83" s="75" t="s">
        <v>148</v>
      </c>
      <c r="U83" s="76"/>
      <c r="V83" s="76"/>
      <c r="W83" s="76"/>
      <c r="X83" s="76"/>
      <c r="Y83" s="76"/>
      <c r="Z83" s="77"/>
      <c r="AE83" s="28"/>
      <c r="AF83" s="28"/>
      <c r="AG83" s="28"/>
      <c r="AH83" s="28"/>
    </row>
    <row r="84" spans="2:34" s="7" customFormat="1" ht="10" customHeight="1" x14ac:dyDescent="0.35">
      <c r="B84"/>
      <c r="F84" s="75"/>
      <c r="G84" s="76"/>
      <c r="H84" s="82" t="s">
        <v>146</v>
      </c>
      <c r="I84" s="77"/>
      <c r="J84" s="75" t="s">
        <v>148</v>
      </c>
      <c r="K84" s="76"/>
      <c r="L84" s="77"/>
      <c r="M84" s="75" t="s">
        <v>2</v>
      </c>
      <c r="N84" s="76"/>
      <c r="O84" s="77"/>
      <c r="R84" s="75"/>
      <c r="S84" s="77"/>
      <c r="T84" s="75" t="s">
        <v>2</v>
      </c>
      <c r="U84" s="76"/>
      <c r="V84" s="76"/>
      <c r="W84" s="76"/>
      <c r="X84" s="76"/>
      <c r="Y84" s="76"/>
      <c r="Z84" s="77"/>
      <c r="AE84" s="28"/>
      <c r="AF84" s="28"/>
      <c r="AG84" s="28"/>
      <c r="AH84" s="28"/>
    </row>
    <row r="85" spans="2:34" s="7" customFormat="1" ht="10" customHeight="1" x14ac:dyDescent="0.35">
      <c r="B85"/>
      <c r="F85" s="75" t="s">
        <v>148</v>
      </c>
      <c r="G85" s="76"/>
      <c r="H85" s="82" t="s">
        <v>150</v>
      </c>
      <c r="I85" s="77"/>
      <c r="J85" s="75" t="s">
        <v>2</v>
      </c>
      <c r="K85" s="76"/>
      <c r="L85" s="77"/>
      <c r="M85" s="75" t="s">
        <v>146</v>
      </c>
      <c r="N85" s="76"/>
      <c r="O85" s="77"/>
      <c r="R85" s="75" t="s">
        <v>148</v>
      </c>
      <c r="S85" s="77"/>
      <c r="T85" s="75" t="s">
        <v>146</v>
      </c>
      <c r="U85" s="76"/>
      <c r="V85" s="76"/>
      <c r="W85" s="76"/>
      <c r="X85" s="76"/>
      <c r="Y85" s="76"/>
      <c r="Z85" s="77"/>
      <c r="AE85" s="28"/>
      <c r="AF85" s="28"/>
      <c r="AG85" s="28"/>
      <c r="AH85" s="28"/>
    </row>
    <row r="86" spans="2:34" s="7" customFormat="1" ht="10" customHeight="1" thickBot="1" x14ac:dyDescent="0.4">
      <c r="B86"/>
      <c r="F86" s="75" t="s">
        <v>146</v>
      </c>
      <c r="G86" s="76"/>
      <c r="H86" s="82" t="s">
        <v>3</v>
      </c>
      <c r="I86" s="77"/>
      <c r="J86" s="75" t="s">
        <v>146</v>
      </c>
      <c r="K86" s="76"/>
      <c r="L86" s="77"/>
      <c r="M86" s="78" t="s">
        <v>150</v>
      </c>
      <c r="N86" s="79"/>
      <c r="O86" s="80"/>
      <c r="R86" s="75" t="s">
        <v>2</v>
      </c>
      <c r="S86" s="77"/>
      <c r="T86" s="78" t="s">
        <v>150</v>
      </c>
      <c r="U86" s="79"/>
      <c r="V86" s="79"/>
      <c r="W86" s="79"/>
      <c r="X86" s="79"/>
      <c r="Y86" s="79"/>
      <c r="Z86" s="80"/>
      <c r="AE86" s="28"/>
      <c r="AF86" s="28"/>
      <c r="AG86" s="28"/>
      <c r="AH86" s="28"/>
    </row>
    <row r="87" spans="2:34" s="7" customFormat="1" ht="10" customHeight="1" thickBot="1" x14ac:dyDescent="0.4">
      <c r="B87"/>
      <c r="F87" s="75" t="s">
        <v>150</v>
      </c>
      <c r="G87" s="76"/>
      <c r="H87" s="82" t="s">
        <v>4</v>
      </c>
      <c r="I87" s="77"/>
      <c r="J87" s="78" t="s">
        <v>150</v>
      </c>
      <c r="K87" s="79"/>
      <c r="L87" s="80"/>
      <c r="R87" s="75" t="s">
        <v>146</v>
      </c>
      <c r="S87" s="77"/>
      <c r="AE87" s="28"/>
      <c r="AF87" s="28"/>
      <c r="AG87" s="28"/>
      <c r="AH87" s="28"/>
    </row>
    <row r="88" spans="2:34" s="7" customFormat="1" ht="10" customHeight="1" x14ac:dyDescent="0.35">
      <c r="B88"/>
      <c r="F88" s="75" t="s">
        <v>3</v>
      </c>
      <c r="G88" s="76"/>
      <c r="H88" s="82" t="s">
        <v>1</v>
      </c>
      <c r="I88" s="77"/>
      <c r="R88" s="75" t="s">
        <v>150</v>
      </c>
      <c r="S88" s="77"/>
      <c r="AE88" s="28"/>
      <c r="AF88" s="28"/>
      <c r="AG88" s="28"/>
      <c r="AH88" s="28"/>
    </row>
    <row r="89" spans="2:34" s="7" customFormat="1" ht="10" customHeight="1" x14ac:dyDescent="0.35">
      <c r="B89"/>
      <c r="F89" s="75" t="s">
        <v>157</v>
      </c>
      <c r="G89" s="76"/>
      <c r="H89" s="82" t="s">
        <v>147</v>
      </c>
      <c r="I89" s="77"/>
      <c r="R89" s="75" t="s">
        <v>3</v>
      </c>
      <c r="S89" s="77"/>
      <c r="AE89" s="28"/>
      <c r="AF89" s="28"/>
      <c r="AG89" s="28"/>
      <c r="AH89" s="28"/>
    </row>
    <row r="90" spans="2:34" s="7" customFormat="1" ht="10" customHeight="1" x14ac:dyDescent="0.35">
      <c r="B90"/>
      <c r="F90" s="75" t="s">
        <v>8</v>
      </c>
      <c r="G90" s="76"/>
      <c r="H90" s="82" t="s">
        <v>10</v>
      </c>
      <c r="I90" s="77"/>
      <c r="R90" s="75" t="s">
        <v>4</v>
      </c>
      <c r="S90" s="77"/>
      <c r="AE90" s="28"/>
      <c r="AF90" s="28"/>
      <c r="AG90" s="28"/>
      <c r="AH90" s="28"/>
    </row>
    <row r="91" spans="2:34" s="7" customFormat="1" ht="10" customHeight="1" thickBot="1" x14ac:dyDescent="0.4">
      <c r="B91"/>
      <c r="F91" s="78" t="s">
        <v>11</v>
      </c>
      <c r="G91" s="79"/>
      <c r="H91" s="82" t="s">
        <v>157</v>
      </c>
      <c r="I91" s="77"/>
      <c r="R91" s="75" t="s">
        <v>1</v>
      </c>
      <c r="S91" s="77"/>
      <c r="AE91" s="28"/>
      <c r="AF91" s="28"/>
      <c r="AG91" s="28"/>
      <c r="AH91" s="28"/>
    </row>
    <row r="92" spans="2:34" s="7" customFormat="1" ht="10" customHeight="1" x14ac:dyDescent="0.35">
      <c r="B92"/>
      <c r="H92" s="82" t="s">
        <v>8</v>
      </c>
      <c r="I92" s="77"/>
      <c r="R92" s="75" t="s">
        <v>147</v>
      </c>
      <c r="S92" s="77"/>
      <c r="AE92" s="28"/>
      <c r="AF92" s="28"/>
      <c r="AG92" s="28"/>
      <c r="AH92" s="28"/>
    </row>
    <row r="93" spans="2:34" s="7" customFormat="1" ht="10" customHeight="1" x14ac:dyDescent="0.35">
      <c r="B93"/>
      <c r="H93" s="82" t="s">
        <v>11</v>
      </c>
      <c r="I93" s="77"/>
      <c r="R93" s="75" t="s">
        <v>10</v>
      </c>
      <c r="S93" s="77"/>
      <c r="AE93" s="28"/>
      <c r="AF93" s="28"/>
      <c r="AG93" s="28"/>
      <c r="AH93" s="28"/>
    </row>
    <row r="94" spans="2:34" s="7" customFormat="1" ht="10" customHeight="1" x14ac:dyDescent="0.35">
      <c r="B94"/>
      <c r="H94" s="82" t="s">
        <v>9</v>
      </c>
      <c r="I94" s="77"/>
      <c r="R94" s="75" t="s">
        <v>6</v>
      </c>
      <c r="S94" s="77"/>
      <c r="AE94" s="28"/>
      <c r="AF94" s="28"/>
      <c r="AG94" s="28"/>
      <c r="AH94" s="28"/>
    </row>
    <row r="95" spans="2:34" s="7" customFormat="1" ht="10" customHeight="1" thickBot="1" x14ac:dyDescent="0.4">
      <c r="B95"/>
      <c r="H95" s="83" t="s">
        <v>158</v>
      </c>
      <c r="I95" s="80"/>
      <c r="R95" s="75" t="s">
        <v>8</v>
      </c>
      <c r="S95" s="77"/>
      <c r="AE95" s="28"/>
      <c r="AF95" s="28"/>
      <c r="AG95" s="28"/>
      <c r="AH95" s="28"/>
    </row>
    <row r="96" spans="2:34" s="7" customFormat="1" ht="10" customHeight="1" x14ac:dyDescent="0.35">
      <c r="B96"/>
      <c r="R96" s="75" t="s">
        <v>9</v>
      </c>
      <c r="S96" s="77"/>
      <c r="AE96" s="28"/>
      <c r="AF96" s="28"/>
      <c r="AG96" s="28"/>
      <c r="AH96" s="28"/>
    </row>
    <row r="97" spans="2:34" s="7" customFormat="1" ht="10" customHeight="1" thickBot="1" x14ac:dyDescent="0.4">
      <c r="B97"/>
      <c r="R97" s="78" t="s">
        <v>158</v>
      </c>
      <c r="S97" s="80"/>
      <c r="AE97" s="28"/>
      <c r="AF97" s="28"/>
      <c r="AG97" s="28"/>
      <c r="AH97" s="28"/>
    </row>
    <row r="98" spans="2:34" s="7" customFormat="1" ht="10" customHeight="1" x14ac:dyDescent="0.35">
      <c r="B98"/>
      <c r="AE98" s="28"/>
      <c r="AF98" s="28"/>
      <c r="AG98" s="28"/>
      <c r="AH98" s="28"/>
    </row>
    <row r="99" spans="2:34" s="7" customFormat="1" ht="10" customHeight="1" thickBot="1" x14ac:dyDescent="0.4">
      <c r="B99"/>
      <c r="D99" s="25">
        <v>0.375</v>
      </c>
      <c r="E99" s="25">
        <v>0.38541666666666669</v>
      </c>
      <c r="F99" s="25">
        <v>0.39583333333333298</v>
      </c>
      <c r="G99" s="25">
        <v>0.40625</v>
      </c>
      <c r="H99" s="25">
        <v>0.41666666666666702</v>
      </c>
      <c r="I99" s="25">
        <v>0.4236111111111111</v>
      </c>
      <c r="J99" s="25">
        <v>0.43055555555555558</v>
      </c>
      <c r="K99" s="25">
        <v>0.4375</v>
      </c>
      <c r="L99" s="25">
        <v>0.44444444444444442</v>
      </c>
      <c r="M99" s="25">
        <v>0.45833333333333331</v>
      </c>
      <c r="N99" s="25">
        <v>0.47222222222222227</v>
      </c>
      <c r="O99" s="25">
        <v>0.4861111111111111</v>
      </c>
      <c r="P99" s="25">
        <v>0.5</v>
      </c>
      <c r="Q99" s="25">
        <v>0.51041666666666663</v>
      </c>
      <c r="R99" s="25">
        <v>0.52083333333333337</v>
      </c>
      <c r="S99" s="25">
        <v>0.53125</v>
      </c>
      <c r="T99" s="25">
        <v>0.54166666666666663</v>
      </c>
      <c r="U99" s="25">
        <v>0.55555555555555558</v>
      </c>
      <c r="V99" s="25">
        <v>0.56944444444444442</v>
      </c>
      <c r="W99" s="25">
        <v>0.58333333333333337</v>
      </c>
      <c r="X99" s="25">
        <v>0.59722222222222221</v>
      </c>
      <c r="Y99" s="25">
        <v>0.61111111111111105</v>
      </c>
      <c r="Z99" s="25">
        <v>0.625</v>
      </c>
      <c r="AA99" s="25">
        <v>0.63888888888888895</v>
      </c>
      <c r="AE99" s="28"/>
      <c r="AF99" s="28"/>
      <c r="AG99" s="28"/>
      <c r="AH99" s="28"/>
    </row>
    <row r="100" spans="2:34" s="7" customFormat="1" ht="10" customHeight="1" thickBot="1" x14ac:dyDescent="0.4">
      <c r="B100"/>
      <c r="D100" s="45" t="s">
        <v>159</v>
      </c>
      <c r="E100" s="47"/>
      <c r="F100" s="45" t="s">
        <v>204</v>
      </c>
      <c r="G100" s="47"/>
      <c r="H100" s="45" t="s">
        <v>78</v>
      </c>
      <c r="I100" s="47"/>
      <c r="J100" s="43" t="s">
        <v>109</v>
      </c>
      <c r="K100" s="46"/>
      <c r="L100" s="44"/>
      <c r="M100" s="43" t="s">
        <v>110</v>
      </c>
      <c r="N100" s="46"/>
      <c r="O100" s="44"/>
      <c r="P100" s="45" t="s">
        <v>112</v>
      </c>
      <c r="Q100" s="47"/>
      <c r="R100" s="45" t="s">
        <v>113</v>
      </c>
      <c r="S100" s="46"/>
      <c r="T100" s="43" t="s">
        <v>111</v>
      </c>
      <c r="U100" s="44"/>
      <c r="V100" s="43" t="s">
        <v>114</v>
      </c>
      <c r="W100" s="44"/>
      <c r="X100" s="43" t="s">
        <v>205</v>
      </c>
      <c r="Y100" s="44"/>
      <c r="Z100" s="26" t="s">
        <v>206</v>
      </c>
      <c r="AA100" s="27"/>
      <c r="AE100" s="28"/>
      <c r="AF100" s="28"/>
      <c r="AG100" s="28"/>
      <c r="AH100" s="28"/>
    </row>
    <row r="101" spans="2:34" s="7" customFormat="1" ht="10" customHeight="1" x14ac:dyDescent="0.35">
      <c r="B101"/>
      <c r="C101" s="7" t="s">
        <v>79</v>
      </c>
      <c r="J101" s="72" t="s">
        <v>7</v>
      </c>
      <c r="K101" s="73"/>
      <c r="L101" s="73"/>
      <c r="M101" s="73"/>
      <c r="N101" s="73"/>
      <c r="O101" s="74"/>
      <c r="P101" s="72" t="s">
        <v>112</v>
      </c>
      <c r="Q101" s="74"/>
      <c r="AB101" s="7">
        <v>2.1700000762939453</v>
      </c>
      <c r="AE101" s="28"/>
      <c r="AF101" s="28"/>
      <c r="AG101" s="28"/>
      <c r="AH101" s="28"/>
    </row>
    <row r="102" spans="2:34" s="7" customFormat="1" ht="10" customHeight="1" x14ac:dyDescent="0.35">
      <c r="B102"/>
      <c r="J102" s="75" t="s">
        <v>143</v>
      </c>
      <c r="K102" s="76"/>
      <c r="L102" s="76"/>
      <c r="M102" s="76"/>
      <c r="N102" s="76"/>
      <c r="O102" s="77"/>
      <c r="P102" s="75" t="s">
        <v>187</v>
      </c>
      <c r="Q102" s="77"/>
      <c r="AE102" s="28"/>
      <c r="AF102" s="28"/>
      <c r="AG102" s="28"/>
      <c r="AH102" s="28"/>
    </row>
    <row r="103" spans="2:34" s="7" customFormat="1" ht="10" customHeight="1" x14ac:dyDescent="0.35">
      <c r="B103"/>
      <c r="J103" s="75" t="s">
        <v>79</v>
      </c>
      <c r="K103" s="76"/>
      <c r="L103" s="76"/>
      <c r="M103" s="76"/>
      <c r="N103" s="76"/>
      <c r="O103" s="77"/>
      <c r="P103" s="75" t="s">
        <v>75</v>
      </c>
      <c r="Q103" s="77"/>
      <c r="AE103" s="28"/>
      <c r="AF103" s="28"/>
      <c r="AG103" s="28"/>
      <c r="AH103" s="28"/>
    </row>
    <row r="104" spans="2:34" s="7" customFormat="1" ht="10" customHeight="1" x14ac:dyDescent="0.35">
      <c r="B104"/>
      <c r="J104" s="75" t="s">
        <v>77</v>
      </c>
      <c r="K104" s="76"/>
      <c r="L104" s="76"/>
      <c r="M104" s="76"/>
      <c r="N104" s="76"/>
      <c r="O104" s="77"/>
      <c r="P104" s="75" t="s">
        <v>79</v>
      </c>
      <c r="Q104" s="77"/>
      <c r="AE104" s="28"/>
      <c r="AF104" s="28"/>
      <c r="AG104" s="28"/>
      <c r="AH104" s="28"/>
    </row>
    <row r="105" spans="2:34" s="7" customFormat="1" ht="10" customHeight="1" x14ac:dyDescent="0.35">
      <c r="B105"/>
      <c r="J105" s="75" t="s">
        <v>70</v>
      </c>
      <c r="K105" s="76"/>
      <c r="L105" s="76"/>
      <c r="M105" s="76"/>
      <c r="N105" s="76"/>
      <c r="O105" s="77"/>
      <c r="P105" s="75" t="s">
        <v>72</v>
      </c>
      <c r="Q105" s="77"/>
      <c r="AE105" s="28"/>
      <c r="AF105" s="28"/>
      <c r="AG105" s="28"/>
      <c r="AH105" s="28"/>
    </row>
    <row r="106" spans="2:34" s="7" customFormat="1" ht="10" customHeight="1" x14ac:dyDescent="0.35">
      <c r="B106"/>
      <c r="J106" s="75" t="s">
        <v>190</v>
      </c>
      <c r="K106" s="76"/>
      <c r="L106" s="76"/>
      <c r="M106" s="76"/>
      <c r="N106" s="76"/>
      <c r="O106" s="77"/>
      <c r="P106" s="75" t="s">
        <v>69</v>
      </c>
      <c r="Q106" s="77"/>
      <c r="AE106" s="28"/>
      <c r="AF106" s="28"/>
      <c r="AG106" s="28"/>
      <c r="AH106" s="28"/>
    </row>
    <row r="107" spans="2:34" s="7" customFormat="1" ht="10" customHeight="1" x14ac:dyDescent="0.35">
      <c r="B107"/>
      <c r="J107" s="75"/>
      <c r="K107" s="76"/>
      <c r="L107" s="76"/>
      <c r="M107" s="76"/>
      <c r="N107" s="76"/>
      <c r="O107" s="77"/>
      <c r="P107" s="75" t="s">
        <v>82</v>
      </c>
      <c r="Q107" s="77"/>
      <c r="AE107" s="28"/>
      <c r="AF107" s="28"/>
      <c r="AG107" s="28"/>
      <c r="AH107" s="28"/>
    </row>
    <row r="108" spans="2:34" s="7" customFormat="1" ht="10" customHeight="1" x14ac:dyDescent="0.35">
      <c r="B108"/>
      <c r="J108" s="75" t="s">
        <v>10</v>
      </c>
      <c r="K108" s="76"/>
      <c r="L108" s="76"/>
      <c r="M108" s="76"/>
      <c r="N108" s="76"/>
      <c r="O108" s="77"/>
      <c r="P108" s="75"/>
      <c r="Q108" s="77"/>
      <c r="AE108" s="28"/>
      <c r="AF108" s="28"/>
      <c r="AG108" s="28"/>
      <c r="AH108" s="28"/>
    </row>
    <row r="109" spans="2:34" s="7" customFormat="1" ht="10" customHeight="1" x14ac:dyDescent="0.35">
      <c r="B109"/>
      <c r="J109" s="75" t="s">
        <v>157</v>
      </c>
      <c r="K109" s="76"/>
      <c r="L109" s="76"/>
      <c r="M109" s="76"/>
      <c r="N109" s="76"/>
      <c r="O109" s="77"/>
      <c r="P109" s="75" t="s">
        <v>148</v>
      </c>
      <c r="Q109" s="77"/>
      <c r="AE109" s="28"/>
      <c r="AF109" s="28"/>
      <c r="AG109" s="28"/>
      <c r="AH109" s="28"/>
    </row>
    <row r="110" spans="2:34" s="7" customFormat="1" ht="10" customHeight="1" x14ac:dyDescent="0.35">
      <c r="B110"/>
      <c r="J110" s="75" t="s">
        <v>8</v>
      </c>
      <c r="K110" s="76"/>
      <c r="L110" s="76"/>
      <c r="M110" s="76"/>
      <c r="N110" s="76"/>
      <c r="O110" s="77"/>
      <c r="P110" s="75" t="s">
        <v>2</v>
      </c>
      <c r="Q110" s="77"/>
      <c r="AE110" s="28"/>
      <c r="AF110" s="28"/>
      <c r="AG110" s="28"/>
      <c r="AH110" s="28"/>
    </row>
    <row r="111" spans="2:34" s="7" customFormat="1" ht="10" customHeight="1" x14ac:dyDescent="0.35">
      <c r="B111"/>
      <c r="J111" s="75" t="s">
        <v>11</v>
      </c>
      <c r="K111" s="76"/>
      <c r="L111" s="76"/>
      <c r="M111" s="76"/>
      <c r="N111" s="76"/>
      <c r="O111" s="77"/>
      <c r="P111" s="75" t="s">
        <v>146</v>
      </c>
      <c r="Q111" s="77"/>
      <c r="AE111" s="28"/>
      <c r="AF111" s="28"/>
      <c r="AG111" s="28"/>
      <c r="AH111" s="28"/>
    </row>
    <row r="112" spans="2:34" s="7" customFormat="1" ht="10" customHeight="1" x14ac:dyDescent="0.35">
      <c r="B112"/>
      <c r="J112" s="75" t="s">
        <v>9</v>
      </c>
      <c r="K112" s="76"/>
      <c r="L112" s="76"/>
      <c r="M112" s="76"/>
      <c r="N112" s="76"/>
      <c r="O112" s="77"/>
      <c r="P112" s="75" t="s">
        <v>150</v>
      </c>
      <c r="Q112" s="77"/>
      <c r="AE112" s="28"/>
      <c r="AF112" s="28"/>
      <c r="AG112" s="28"/>
      <c r="AH112" s="28"/>
    </row>
    <row r="113" spans="2:34" s="7" customFormat="1" ht="10" customHeight="1" thickBot="1" x14ac:dyDescent="0.4">
      <c r="B113"/>
      <c r="J113" s="78" t="s">
        <v>158</v>
      </c>
      <c r="K113" s="79"/>
      <c r="L113" s="79"/>
      <c r="M113" s="79"/>
      <c r="N113" s="79"/>
      <c r="O113" s="80"/>
      <c r="P113" s="75" t="s">
        <v>3</v>
      </c>
      <c r="Q113" s="77"/>
      <c r="AE113" s="28"/>
      <c r="AF113" s="28"/>
      <c r="AG113" s="28"/>
      <c r="AH113" s="28"/>
    </row>
    <row r="114" spans="2:34" s="7" customFormat="1" ht="10" customHeight="1" x14ac:dyDescent="0.35">
      <c r="B114"/>
      <c r="P114" s="75" t="s">
        <v>4</v>
      </c>
      <c r="Q114" s="77"/>
      <c r="AE114" s="28"/>
      <c r="AF114" s="28"/>
      <c r="AG114" s="28"/>
      <c r="AH114" s="28"/>
    </row>
    <row r="115" spans="2:34" s="7" customFormat="1" ht="10" customHeight="1" x14ac:dyDescent="0.35">
      <c r="B115"/>
      <c r="P115" s="75" t="s">
        <v>1</v>
      </c>
      <c r="Q115" s="77"/>
      <c r="AE115" s="28"/>
      <c r="AF115" s="28"/>
      <c r="AG115" s="28"/>
      <c r="AH115" s="28"/>
    </row>
    <row r="116" spans="2:34" s="7" customFormat="1" ht="10" customHeight="1" x14ac:dyDescent="0.35">
      <c r="B116"/>
      <c r="P116" s="75" t="s">
        <v>147</v>
      </c>
      <c r="Q116" s="77"/>
      <c r="AE116" s="28"/>
      <c r="AF116" s="28"/>
      <c r="AG116" s="28"/>
      <c r="AH116" s="28"/>
    </row>
    <row r="117" spans="2:34" s="7" customFormat="1" ht="10" customHeight="1" x14ac:dyDescent="0.35">
      <c r="B117"/>
      <c r="P117" s="75" t="s">
        <v>10</v>
      </c>
      <c r="Q117" s="77"/>
      <c r="AE117" s="28"/>
      <c r="AF117" s="28"/>
      <c r="AG117" s="28"/>
      <c r="AH117" s="28"/>
    </row>
    <row r="118" spans="2:34" s="7" customFormat="1" ht="10" customHeight="1" x14ac:dyDescent="0.35">
      <c r="B118"/>
      <c r="P118" s="75" t="s">
        <v>157</v>
      </c>
      <c r="Q118" s="77"/>
      <c r="AE118" s="28"/>
      <c r="AF118" s="28"/>
      <c r="AG118" s="28"/>
      <c r="AH118" s="28"/>
    </row>
    <row r="119" spans="2:34" s="7" customFormat="1" ht="10" customHeight="1" x14ac:dyDescent="0.35">
      <c r="B119"/>
      <c r="P119" s="75" t="s">
        <v>6</v>
      </c>
      <c r="Q119" s="77"/>
      <c r="AE119" s="28"/>
      <c r="AF119" s="28"/>
      <c r="AG119" s="28"/>
      <c r="AH119" s="28"/>
    </row>
    <row r="120" spans="2:34" s="7" customFormat="1" ht="10" customHeight="1" x14ac:dyDescent="0.35">
      <c r="B120"/>
      <c r="P120" s="75" t="s">
        <v>8</v>
      </c>
      <c r="Q120" s="77"/>
      <c r="AE120" s="28"/>
      <c r="AF120" s="28"/>
      <c r="AG120" s="28"/>
      <c r="AH120" s="28"/>
    </row>
    <row r="121" spans="2:34" s="7" customFormat="1" ht="10" customHeight="1" x14ac:dyDescent="0.35">
      <c r="B121"/>
      <c r="P121" s="75" t="s">
        <v>11</v>
      </c>
      <c r="Q121" s="77"/>
      <c r="AE121" s="28"/>
      <c r="AF121" s="28"/>
      <c r="AG121" s="28"/>
      <c r="AH121" s="28"/>
    </row>
    <row r="122" spans="2:34" s="7" customFormat="1" ht="10" customHeight="1" x14ac:dyDescent="0.35">
      <c r="B122"/>
      <c r="P122" s="75" t="s">
        <v>9</v>
      </c>
      <c r="Q122" s="77"/>
      <c r="AE122" s="28"/>
      <c r="AF122" s="28"/>
      <c r="AG122" s="28"/>
      <c r="AH122" s="28"/>
    </row>
    <row r="123" spans="2:34" s="7" customFormat="1" ht="10" customHeight="1" thickBot="1" x14ac:dyDescent="0.4">
      <c r="B123"/>
      <c r="P123" s="78" t="s">
        <v>158</v>
      </c>
      <c r="Q123" s="80"/>
      <c r="AE123" s="28"/>
      <c r="AF123" s="28"/>
      <c r="AG123" s="28"/>
      <c r="AH123" s="28"/>
    </row>
    <row r="124" spans="2:34" s="7" customFormat="1" ht="10" customHeight="1" x14ac:dyDescent="0.35">
      <c r="B124"/>
      <c r="AE124" s="28"/>
      <c r="AF124" s="28"/>
      <c r="AG124" s="28"/>
      <c r="AH124" s="28"/>
    </row>
    <row r="125" spans="2:34" s="7" customFormat="1" ht="10" customHeight="1" thickBot="1" x14ac:dyDescent="0.4">
      <c r="B125"/>
      <c r="D125" s="25">
        <v>0.375</v>
      </c>
      <c r="E125" s="25">
        <v>0.38541666666666669</v>
      </c>
      <c r="F125" s="25">
        <v>0.39583333333333298</v>
      </c>
      <c r="G125" s="25">
        <v>0.40625</v>
      </c>
      <c r="H125" s="25">
        <v>0.41666666666666702</v>
      </c>
      <c r="I125" s="25">
        <v>0.4236111111111111</v>
      </c>
      <c r="J125" s="25">
        <v>0.43055555555555558</v>
      </c>
      <c r="K125" s="25">
        <v>0.4375</v>
      </c>
      <c r="L125" s="25">
        <v>0.44444444444444442</v>
      </c>
      <c r="M125" s="25">
        <v>0.45833333333333331</v>
      </c>
      <c r="N125" s="25">
        <v>0.47222222222222227</v>
      </c>
      <c r="O125" s="25">
        <v>0.4861111111111111</v>
      </c>
      <c r="P125" s="25">
        <v>0.5</v>
      </c>
      <c r="Q125" s="25">
        <v>0.51041666666666663</v>
      </c>
      <c r="R125" s="25">
        <v>0.52083333333333337</v>
      </c>
      <c r="S125" s="25">
        <v>0.53125</v>
      </c>
      <c r="T125" s="25">
        <v>0.54166666666666663</v>
      </c>
      <c r="U125" s="25">
        <v>0.55555555555555558</v>
      </c>
      <c r="V125" s="25">
        <v>0.56944444444444442</v>
      </c>
      <c r="W125" s="25">
        <v>0.58333333333333337</v>
      </c>
      <c r="X125" s="25">
        <v>0.59722222222222221</v>
      </c>
      <c r="Y125" s="25">
        <v>0.61111111111111105</v>
      </c>
      <c r="Z125" s="25">
        <v>0.625</v>
      </c>
      <c r="AA125" s="25">
        <v>0.63888888888888895</v>
      </c>
      <c r="AE125" s="28"/>
      <c r="AF125" s="28"/>
      <c r="AG125" s="28"/>
      <c r="AH125" s="28"/>
    </row>
    <row r="126" spans="2:34" s="7" customFormat="1" ht="10" customHeight="1" thickBot="1" x14ac:dyDescent="0.4">
      <c r="B126"/>
      <c r="D126" s="45" t="s">
        <v>159</v>
      </c>
      <c r="E126" s="47"/>
      <c r="F126" s="45" t="s">
        <v>204</v>
      </c>
      <c r="G126" s="47"/>
      <c r="H126" s="45" t="s">
        <v>78</v>
      </c>
      <c r="I126" s="47"/>
      <c r="J126" s="43" t="s">
        <v>109</v>
      </c>
      <c r="K126" s="46"/>
      <c r="L126" s="44"/>
      <c r="M126" s="43" t="s">
        <v>110</v>
      </c>
      <c r="N126" s="46"/>
      <c r="O126" s="44"/>
      <c r="P126" s="45" t="s">
        <v>112</v>
      </c>
      <c r="Q126" s="47"/>
      <c r="R126" s="45" t="s">
        <v>113</v>
      </c>
      <c r="S126" s="46"/>
      <c r="T126" s="43" t="s">
        <v>111</v>
      </c>
      <c r="U126" s="44"/>
      <c r="V126" s="43" t="s">
        <v>114</v>
      </c>
      <c r="W126" s="44"/>
      <c r="X126" s="43" t="s">
        <v>205</v>
      </c>
      <c r="Y126" s="44"/>
      <c r="Z126" s="26" t="s">
        <v>206</v>
      </c>
      <c r="AA126" s="27"/>
      <c r="AE126" s="28"/>
      <c r="AF126" s="28"/>
      <c r="AG126" s="28"/>
      <c r="AH126" s="28"/>
    </row>
    <row r="127" spans="2:34" s="7" customFormat="1" ht="10" customHeight="1" x14ac:dyDescent="0.35">
      <c r="B127"/>
      <c r="C127" s="7" t="s">
        <v>73</v>
      </c>
      <c r="D127" s="72" t="s">
        <v>220</v>
      </c>
      <c r="E127" s="73"/>
      <c r="F127" s="73"/>
      <c r="G127" s="73"/>
      <c r="H127" s="73"/>
      <c r="I127" s="73"/>
      <c r="J127" s="73"/>
      <c r="K127" s="73"/>
      <c r="L127" s="73"/>
      <c r="M127" s="74"/>
      <c r="R127" s="72" t="s">
        <v>169</v>
      </c>
      <c r="S127" s="74"/>
      <c r="T127" s="72" t="s">
        <v>7</v>
      </c>
      <c r="U127" s="74"/>
      <c r="V127" s="72" t="s">
        <v>13</v>
      </c>
      <c r="W127" s="73"/>
      <c r="X127" s="74"/>
      <c r="AB127" s="7">
        <v>4.5</v>
      </c>
      <c r="AE127" s="28"/>
      <c r="AF127" s="28"/>
      <c r="AG127" s="28"/>
      <c r="AH127" s="28"/>
    </row>
    <row r="128" spans="2:34" s="7" customFormat="1" ht="10" customHeight="1" x14ac:dyDescent="0.35">
      <c r="B128"/>
      <c r="D128" s="75" t="s">
        <v>145</v>
      </c>
      <c r="E128" s="76"/>
      <c r="F128" s="76"/>
      <c r="G128" s="76"/>
      <c r="H128" s="76"/>
      <c r="I128" s="76"/>
      <c r="J128" s="76"/>
      <c r="K128" s="76"/>
      <c r="L128" s="76"/>
      <c r="M128" s="77"/>
      <c r="R128" s="75" t="s">
        <v>188</v>
      </c>
      <c r="S128" s="77"/>
      <c r="T128" s="75" t="s">
        <v>143</v>
      </c>
      <c r="U128" s="77"/>
      <c r="V128" s="75" t="s">
        <v>189</v>
      </c>
      <c r="W128" s="76"/>
      <c r="X128" s="77"/>
      <c r="AE128" s="28"/>
      <c r="AF128" s="28"/>
      <c r="AG128" s="28"/>
      <c r="AH128" s="28"/>
    </row>
    <row r="129" spans="2:34" s="7" customFormat="1" ht="10" customHeight="1" x14ac:dyDescent="0.35">
      <c r="B129"/>
      <c r="D129" s="75" t="s">
        <v>73</v>
      </c>
      <c r="E129" s="76"/>
      <c r="F129" s="76"/>
      <c r="G129" s="76"/>
      <c r="H129" s="76"/>
      <c r="I129" s="76"/>
      <c r="J129" s="76"/>
      <c r="K129" s="76"/>
      <c r="L129" s="76"/>
      <c r="M129" s="77"/>
      <c r="R129" s="75" t="s">
        <v>73</v>
      </c>
      <c r="S129" s="77"/>
      <c r="T129" s="75" t="s">
        <v>73</v>
      </c>
      <c r="U129" s="77"/>
      <c r="V129" s="75" t="s">
        <v>73</v>
      </c>
      <c r="W129" s="76"/>
      <c r="X129" s="77"/>
      <c r="AE129" s="28"/>
      <c r="AF129" s="28"/>
      <c r="AG129" s="28"/>
      <c r="AH129" s="28"/>
    </row>
    <row r="130" spans="2:34" s="7" customFormat="1" ht="10" customHeight="1" x14ac:dyDescent="0.35">
      <c r="B130"/>
      <c r="D130" s="75"/>
      <c r="E130" s="76"/>
      <c r="F130" s="76"/>
      <c r="G130" s="76"/>
      <c r="H130" s="76"/>
      <c r="I130" s="76"/>
      <c r="J130" s="76"/>
      <c r="K130" s="76"/>
      <c r="L130" s="76"/>
      <c r="M130" s="77"/>
      <c r="R130" s="75" t="s">
        <v>83</v>
      </c>
      <c r="S130" s="77"/>
      <c r="T130" s="75" t="s">
        <v>80</v>
      </c>
      <c r="U130" s="77"/>
      <c r="V130" s="75" t="s">
        <v>100</v>
      </c>
      <c r="W130" s="76"/>
      <c r="X130" s="77"/>
      <c r="AE130" s="28"/>
      <c r="AF130" s="28"/>
      <c r="AG130" s="28"/>
      <c r="AH130" s="28"/>
    </row>
    <row r="131" spans="2:34" s="7" customFormat="1" ht="10" customHeight="1" thickBot="1" x14ac:dyDescent="0.4">
      <c r="B131"/>
      <c r="D131" s="78" t="s">
        <v>15</v>
      </c>
      <c r="E131" s="79"/>
      <c r="F131" s="79"/>
      <c r="G131" s="79"/>
      <c r="H131" s="79"/>
      <c r="I131" s="79"/>
      <c r="J131" s="79"/>
      <c r="K131" s="79"/>
      <c r="L131" s="79"/>
      <c r="M131" s="80"/>
      <c r="R131" s="75" t="s">
        <v>77</v>
      </c>
      <c r="S131" s="77"/>
      <c r="T131" s="75" t="s">
        <v>99</v>
      </c>
      <c r="U131" s="77"/>
      <c r="V131" s="75"/>
      <c r="W131" s="76"/>
      <c r="X131" s="77"/>
      <c r="AE131" s="28"/>
      <c r="AF131" s="28"/>
      <c r="AG131" s="28"/>
      <c r="AH131" s="28"/>
    </row>
    <row r="132" spans="2:34" s="7" customFormat="1" ht="10" customHeight="1" thickBot="1" x14ac:dyDescent="0.4">
      <c r="B132"/>
      <c r="R132" s="75" t="s">
        <v>161</v>
      </c>
      <c r="S132" s="77"/>
      <c r="T132" s="75"/>
      <c r="U132" s="77"/>
      <c r="V132" s="78" t="s">
        <v>13</v>
      </c>
      <c r="W132" s="79"/>
      <c r="X132" s="80"/>
      <c r="AE132" s="28"/>
      <c r="AF132" s="28"/>
      <c r="AG132" s="28"/>
      <c r="AH132" s="28"/>
    </row>
    <row r="133" spans="2:34" s="7" customFormat="1" ht="10" customHeight="1" x14ac:dyDescent="0.35">
      <c r="B133"/>
      <c r="R133" s="75" t="s">
        <v>71</v>
      </c>
      <c r="S133" s="77"/>
      <c r="T133" s="75" t="s">
        <v>10</v>
      </c>
      <c r="U133" s="77"/>
      <c r="AE133" s="28"/>
      <c r="AF133" s="28"/>
      <c r="AG133" s="28"/>
      <c r="AH133" s="28"/>
    </row>
    <row r="134" spans="2:34" s="7" customFormat="1" ht="10" customHeight="1" x14ac:dyDescent="0.35">
      <c r="B134"/>
      <c r="R134" s="75"/>
      <c r="S134" s="77"/>
      <c r="T134" s="75" t="s">
        <v>6</v>
      </c>
      <c r="U134" s="77"/>
      <c r="AE134" s="28"/>
      <c r="AF134" s="28"/>
      <c r="AG134" s="28"/>
      <c r="AH134" s="28"/>
    </row>
    <row r="135" spans="2:34" s="7" customFormat="1" ht="10" customHeight="1" x14ac:dyDescent="0.35">
      <c r="B135"/>
      <c r="R135" s="75" t="s">
        <v>148</v>
      </c>
      <c r="S135" s="77"/>
      <c r="T135" s="75" t="s">
        <v>9</v>
      </c>
      <c r="U135" s="77"/>
      <c r="AE135" s="28"/>
      <c r="AF135" s="28"/>
      <c r="AG135" s="28"/>
      <c r="AH135" s="28"/>
    </row>
    <row r="136" spans="2:34" s="7" customFormat="1" ht="10" customHeight="1" thickBot="1" x14ac:dyDescent="0.4">
      <c r="B136"/>
      <c r="R136" s="75" t="s">
        <v>2</v>
      </c>
      <c r="S136" s="77"/>
      <c r="T136" s="78" t="s">
        <v>158</v>
      </c>
      <c r="U136" s="80"/>
      <c r="AE136" s="28"/>
      <c r="AF136" s="28"/>
      <c r="AG136" s="28"/>
      <c r="AH136" s="28"/>
    </row>
    <row r="137" spans="2:34" s="7" customFormat="1" ht="10" customHeight="1" x14ac:dyDescent="0.35">
      <c r="B137"/>
      <c r="R137" s="75" t="s">
        <v>146</v>
      </c>
      <c r="S137" s="77"/>
      <c r="AE137" s="28"/>
      <c r="AF137" s="28"/>
      <c r="AG137" s="28"/>
      <c r="AH137" s="28"/>
    </row>
    <row r="138" spans="2:34" s="7" customFormat="1" ht="10" customHeight="1" x14ac:dyDescent="0.35">
      <c r="B138"/>
      <c r="R138" s="75" t="s">
        <v>150</v>
      </c>
      <c r="S138" s="77"/>
      <c r="AE138" s="28"/>
      <c r="AF138" s="28"/>
      <c r="AG138" s="28"/>
      <c r="AH138" s="28"/>
    </row>
    <row r="139" spans="2:34" s="7" customFormat="1" ht="10" customHeight="1" x14ac:dyDescent="0.35">
      <c r="B139"/>
      <c r="R139" s="75" t="s">
        <v>3</v>
      </c>
      <c r="S139" s="77"/>
      <c r="AE139" s="28"/>
      <c r="AF139" s="28"/>
      <c r="AG139" s="28"/>
      <c r="AH139" s="28"/>
    </row>
    <row r="140" spans="2:34" s="7" customFormat="1" ht="10" customHeight="1" x14ac:dyDescent="0.35">
      <c r="B140"/>
      <c r="R140" s="75" t="s">
        <v>4</v>
      </c>
      <c r="S140" s="77"/>
      <c r="AE140" s="28"/>
      <c r="AF140" s="28"/>
      <c r="AG140" s="28"/>
      <c r="AH140" s="28"/>
    </row>
    <row r="141" spans="2:34" s="7" customFormat="1" ht="10" customHeight="1" x14ac:dyDescent="0.35">
      <c r="B141"/>
      <c r="R141" s="75" t="s">
        <v>1</v>
      </c>
      <c r="S141" s="77"/>
      <c r="AE141" s="28"/>
      <c r="AF141" s="28"/>
      <c r="AG141" s="28"/>
      <c r="AH141" s="28"/>
    </row>
    <row r="142" spans="2:34" s="7" customFormat="1" ht="10" customHeight="1" x14ac:dyDescent="0.35">
      <c r="B142"/>
      <c r="R142" s="75" t="s">
        <v>147</v>
      </c>
      <c r="S142" s="77"/>
      <c r="AE142" s="28"/>
      <c r="AF142" s="28"/>
      <c r="AG142" s="28"/>
      <c r="AH142" s="28"/>
    </row>
    <row r="143" spans="2:34" s="7" customFormat="1" ht="10" customHeight="1" x14ac:dyDescent="0.35">
      <c r="B143"/>
      <c r="R143" s="75" t="s">
        <v>10</v>
      </c>
      <c r="S143" s="77"/>
      <c r="AE143" s="28"/>
      <c r="AF143" s="28"/>
      <c r="AG143" s="28"/>
      <c r="AH143" s="28"/>
    </row>
    <row r="144" spans="2:34" s="7" customFormat="1" ht="10" customHeight="1" x14ac:dyDescent="0.35">
      <c r="B144"/>
      <c r="R144" s="75" t="s">
        <v>6</v>
      </c>
      <c r="S144" s="77"/>
      <c r="AE144" s="28"/>
      <c r="AF144" s="28"/>
      <c r="AG144" s="28"/>
      <c r="AH144" s="28"/>
    </row>
    <row r="145" spans="2:34" s="7" customFormat="1" ht="10" customHeight="1" x14ac:dyDescent="0.35">
      <c r="B145"/>
      <c r="R145" s="75" t="s">
        <v>8</v>
      </c>
      <c r="S145" s="77"/>
      <c r="AE145" s="28"/>
      <c r="AF145" s="28"/>
      <c r="AG145" s="28"/>
      <c r="AH145" s="28"/>
    </row>
    <row r="146" spans="2:34" s="7" customFormat="1" ht="10" customHeight="1" x14ac:dyDescent="0.35">
      <c r="B146"/>
      <c r="R146" s="75" t="s">
        <v>9</v>
      </c>
      <c r="S146" s="77"/>
      <c r="AE146" s="28"/>
      <c r="AF146" s="28"/>
      <c r="AG146" s="28"/>
      <c r="AH146" s="28"/>
    </row>
    <row r="147" spans="2:34" s="7" customFormat="1" ht="10" customHeight="1" thickBot="1" x14ac:dyDescent="0.4">
      <c r="B147"/>
      <c r="R147" s="78" t="s">
        <v>158</v>
      </c>
      <c r="S147" s="80"/>
      <c r="AE147" s="28"/>
      <c r="AF147" s="28"/>
      <c r="AG147" s="28"/>
      <c r="AH147" s="28"/>
    </row>
    <row r="148" spans="2:34" s="7" customFormat="1" ht="10" customHeight="1" x14ac:dyDescent="0.35">
      <c r="B148"/>
      <c r="AE148" s="28"/>
      <c r="AF148" s="28"/>
      <c r="AG148" s="28"/>
      <c r="AH148" s="28"/>
    </row>
    <row r="149" spans="2:34" s="7" customFormat="1" ht="10" customHeight="1" thickBot="1" x14ac:dyDescent="0.4">
      <c r="B149"/>
      <c r="D149" s="25">
        <v>0.375</v>
      </c>
      <c r="E149" s="25">
        <v>0.38541666666666669</v>
      </c>
      <c r="F149" s="25">
        <v>0.39583333333333298</v>
      </c>
      <c r="G149" s="25">
        <v>0.40625</v>
      </c>
      <c r="H149" s="25">
        <v>0.41666666666666702</v>
      </c>
      <c r="I149" s="25">
        <v>0.4236111111111111</v>
      </c>
      <c r="J149" s="25">
        <v>0.43055555555555558</v>
      </c>
      <c r="K149" s="25">
        <v>0.4375</v>
      </c>
      <c r="L149" s="25">
        <v>0.44444444444444442</v>
      </c>
      <c r="M149" s="25">
        <v>0.45833333333333331</v>
      </c>
      <c r="N149" s="25">
        <v>0.47222222222222227</v>
      </c>
      <c r="O149" s="25">
        <v>0.4861111111111111</v>
      </c>
      <c r="P149" s="25">
        <v>0.5</v>
      </c>
      <c r="Q149" s="25">
        <v>0.51041666666666663</v>
      </c>
      <c r="R149" s="25">
        <v>0.52083333333333337</v>
      </c>
      <c r="S149" s="25">
        <v>0.53125</v>
      </c>
      <c r="T149" s="25">
        <v>0.54166666666666663</v>
      </c>
      <c r="U149" s="25">
        <v>0.55555555555555558</v>
      </c>
      <c r="V149" s="25">
        <v>0.56944444444444442</v>
      </c>
      <c r="W149" s="25">
        <v>0.58333333333333337</v>
      </c>
      <c r="X149" s="25">
        <v>0.59722222222222221</v>
      </c>
      <c r="Y149" s="25">
        <v>0.61111111111111105</v>
      </c>
      <c r="Z149" s="25">
        <v>0.625</v>
      </c>
      <c r="AA149" s="25">
        <v>0.63888888888888895</v>
      </c>
      <c r="AE149" s="28"/>
      <c r="AF149" s="28"/>
      <c r="AG149" s="28"/>
      <c r="AH149" s="28"/>
    </row>
    <row r="150" spans="2:34" s="7" customFormat="1" ht="10" customHeight="1" thickBot="1" x14ac:dyDescent="0.4">
      <c r="B150"/>
      <c r="D150" s="45" t="s">
        <v>159</v>
      </c>
      <c r="E150" s="47"/>
      <c r="F150" s="45" t="s">
        <v>204</v>
      </c>
      <c r="G150" s="47"/>
      <c r="H150" s="45" t="s">
        <v>78</v>
      </c>
      <c r="I150" s="47"/>
      <c r="J150" s="43" t="s">
        <v>109</v>
      </c>
      <c r="K150" s="46"/>
      <c r="L150" s="44"/>
      <c r="M150" s="43" t="s">
        <v>110</v>
      </c>
      <c r="N150" s="46"/>
      <c r="O150" s="44"/>
      <c r="P150" s="45" t="s">
        <v>112</v>
      </c>
      <c r="Q150" s="47"/>
      <c r="R150" s="45" t="s">
        <v>113</v>
      </c>
      <c r="S150" s="46"/>
      <c r="T150" s="43" t="s">
        <v>111</v>
      </c>
      <c r="U150" s="44"/>
      <c r="V150" s="43" t="s">
        <v>114</v>
      </c>
      <c r="W150" s="44"/>
      <c r="X150" s="43" t="s">
        <v>205</v>
      </c>
      <c r="Y150" s="44"/>
      <c r="Z150" s="26" t="s">
        <v>206</v>
      </c>
      <c r="AA150" s="27"/>
      <c r="AE150" s="28"/>
      <c r="AF150" s="28"/>
      <c r="AG150" s="28"/>
      <c r="AH150" s="28"/>
    </row>
    <row r="151" spans="2:34" s="7" customFormat="1" ht="10" customHeight="1" x14ac:dyDescent="0.35">
      <c r="B151"/>
      <c r="C151" s="7" t="s">
        <v>77</v>
      </c>
      <c r="J151" s="72" t="s">
        <v>7</v>
      </c>
      <c r="K151" s="73"/>
      <c r="L151" s="73"/>
      <c r="M151" s="73"/>
      <c r="N151" s="73"/>
      <c r="O151" s="74"/>
      <c r="R151" s="72" t="s">
        <v>169</v>
      </c>
      <c r="S151" s="74"/>
      <c r="T151" s="72" t="s">
        <v>171</v>
      </c>
      <c r="U151" s="73"/>
      <c r="V151" s="73"/>
      <c r="W151" s="73"/>
      <c r="X151" s="73"/>
      <c r="Y151" s="73"/>
      <c r="Z151" s="74"/>
      <c r="AB151" s="7">
        <v>4.5</v>
      </c>
      <c r="AE151" s="28"/>
      <c r="AF151" s="28"/>
      <c r="AG151" s="28"/>
      <c r="AH151" s="28"/>
    </row>
    <row r="152" spans="2:34" s="7" customFormat="1" ht="10" customHeight="1" x14ac:dyDescent="0.35">
      <c r="B152"/>
      <c r="J152" s="75" t="s">
        <v>143</v>
      </c>
      <c r="K152" s="76"/>
      <c r="L152" s="76"/>
      <c r="M152" s="76"/>
      <c r="N152" s="76"/>
      <c r="O152" s="77"/>
      <c r="R152" s="75" t="s">
        <v>188</v>
      </c>
      <c r="S152" s="77"/>
      <c r="T152" s="75" t="s">
        <v>145</v>
      </c>
      <c r="U152" s="76"/>
      <c r="V152" s="76"/>
      <c r="W152" s="76"/>
      <c r="X152" s="76"/>
      <c r="Y152" s="76"/>
      <c r="Z152" s="77"/>
      <c r="AE152" s="28"/>
      <c r="AF152" s="28"/>
      <c r="AG152" s="28"/>
      <c r="AH152" s="28"/>
    </row>
    <row r="153" spans="2:34" s="7" customFormat="1" ht="10" customHeight="1" x14ac:dyDescent="0.35">
      <c r="B153"/>
      <c r="J153" s="75" t="s">
        <v>79</v>
      </c>
      <c r="K153" s="76"/>
      <c r="L153" s="76"/>
      <c r="M153" s="76"/>
      <c r="N153" s="76"/>
      <c r="O153" s="77"/>
      <c r="R153" s="75" t="s">
        <v>73</v>
      </c>
      <c r="S153" s="77"/>
      <c r="T153" s="75" t="s">
        <v>77</v>
      </c>
      <c r="U153" s="76"/>
      <c r="V153" s="76"/>
      <c r="W153" s="76"/>
      <c r="X153" s="76"/>
      <c r="Y153" s="76"/>
      <c r="Z153" s="77"/>
      <c r="AE153" s="28"/>
      <c r="AF153" s="28"/>
      <c r="AG153" s="28"/>
      <c r="AH153" s="28"/>
    </row>
    <row r="154" spans="2:34" s="7" customFormat="1" ht="10" customHeight="1" x14ac:dyDescent="0.35">
      <c r="B154"/>
      <c r="J154" s="75" t="s">
        <v>77</v>
      </c>
      <c r="K154" s="76"/>
      <c r="L154" s="76"/>
      <c r="M154" s="76"/>
      <c r="N154" s="76"/>
      <c r="O154" s="77"/>
      <c r="R154" s="75" t="s">
        <v>83</v>
      </c>
      <c r="S154" s="77"/>
      <c r="T154" s="75"/>
      <c r="U154" s="76"/>
      <c r="V154" s="76"/>
      <c r="W154" s="76"/>
      <c r="X154" s="76"/>
      <c r="Y154" s="76"/>
      <c r="Z154" s="77"/>
      <c r="AE154" s="28"/>
      <c r="AF154" s="28"/>
      <c r="AG154" s="28"/>
      <c r="AH154" s="28"/>
    </row>
    <row r="155" spans="2:34" s="7" customFormat="1" ht="10" customHeight="1" thickBot="1" x14ac:dyDescent="0.4">
      <c r="B155"/>
      <c r="J155" s="75" t="s">
        <v>70</v>
      </c>
      <c r="K155" s="76"/>
      <c r="L155" s="76"/>
      <c r="M155" s="76"/>
      <c r="N155" s="76"/>
      <c r="O155" s="77"/>
      <c r="R155" s="75" t="s">
        <v>77</v>
      </c>
      <c r="S155" s="77"/>
      <c r="T155" s="78" t="s">
        <v>149</v>
      </c>
      <c r="U155" s="79"/>
      <c r="V155" s="79"/>
      <c r="W155" s="79"/>
      <c r="X155" s="79"/>
      <c r="Y155" s="79"/>
      <c r="Z155" s="80"/>
      <c r="AE155" s="28"/>
      <c r="AF155" s="28"/>
      <c r="AG155" s="28"/>
      <c r="AH155" s="28"/>
    </row>
    <row r="156" spans="2:34" s="7" customFormat="1" ht="10" customHeight="1" x14ac:dyDescent="0.35">
      <c r="B156"/>
      <c r="J156" s="75" t="s">
        <v>190</v>
      </c>
      <c r="K156" s="76"/>
      <c r="L156" s="76"/>
      <c r="M156" s="76"/>
      <c r="N156" s="76"/>
      <c r="O156" s="77"/>
      <c r="R156" s="75" t="s">
        <v>161</v>
      </c>
      <c r="S156" s="77"/>
      <c r="AE156" s="28"/>
      <c r="AF156" s="28"/>
      <c r="AG156" s="28"/>
      <c r="AH156" s="28"/>
    </row>
    <row r="157" spans="2:34" s="7" customFormat="1" ht="10" customHeight="1" x14ac:dyDescent="0.35">
      <c r="B157"/>
      <c r="J157" s="75"/>
      <c r="K157" s="76"/>
      <c r="L157" s="76"/>
      <c r="M157" s="76"/>
      <c r="N157" s="76"/>
      <c r="O157" s="77"/>
      <c r="R157" s="75" t="s">
        <v>71</v>
      </c>
      <c r="S157" s="77"/>
      <c r="AE157" s="28"/>
      <c r="AF157" s="28"/>
      <c r="AG157" s="28"/>
      <c r="AH157" s="28"/>
    </row>
    <row r="158" spans="2:34" s="7" customFormat="1" ht="10" customHeight="1" x14ac:dyDescent="0.35">
      <c r="B158"/>
      <c r="J158" s="75" t="s">
        <v>10</v>
      </c>
      <c r="K158" s="76"/>
      <c r="L158" s="76"/>
      <c r="M158" s="76"/>
      <c r="N158" s="76"/>
      <c r="O158" s="77"/>
      <c r="R158" s="75"/>
      <c r="S158" s="77"/>
      <c r="AE158" s="28"/>
      <c r="AF158" s="28"/>
      <c r="AG158" s="28"/>
      <c r="AH158" s="28"/>
    </row>
    <row r="159" spans="2:34" s="7" customFormat="1" ht="10" customHeight="1" x14ac:dyDescent="0.35">
      <c r="B159"/>
      <c r="J159" s="75" t="s">
        <v>157</v>
      </c>
      <c r="K159" s="76"/>
      <c r="L159" s="76"/>
      <c r="M159" s="76"/>
      <c r="N159" s="76"/>
      <c r="O159" s="77"/>
      <c r="R159" s="75" t="s">
        <v>148</v>
      </c>
      <c r="S159" s="77"/>
      <c r="AE159" s="28"/>
      <c r="AF159" s="28"/>
      <c r="AG159" s="28"/>
      <c r="AH159" s="28"/>
    </row>
    <row r="160" spans="2:34" s="7" customFormat="1" ht="10" customHeight="1" x14ac:dyDescent="0.35">
      <c r="B160"/>
      <c r="J160" s="75" t="s">
        <v>8</v>
      </c>
      <c r="K160" s="76"/>
      <c r="L160" s="76"/>
      <c r="M160" s="76"/>
      <c r="N160" s="76"/>
      <c r="O160" s="77"/>
      <c r="R160" s="75" t="s">
        <v>2</v>
      </c>
      <c r="S160" s="77"/>
      <c r="AE160" s="28"/>
      <c r="AF160" s="28"/>
      <c r="AG160" s="28"/>
      <c r="AH160" s="28"/>
    </row>
    <row r="161" spans="2:34" s="7" customFormat="1" ht="10" customHeight="1" x14ac:dyDescent="0.35">
      <c r="B161"/>
      <c r="J161" s="75" t="s">
        <v>11</v>
      </c>
      <c r="K161" s="76"/>
      <c r="L161" s="76"/>
      <c r="M161" s="76"/>
      <c r="N161" s="76"/>
      <c r="O161" s="77"/>
      <c r="R161" s="75" t="s">
        <v>146</v>
      </c>
      <c r="S161" s="77"/>
      <c r="AE161" s="28"/>
      <c r="AF161" s="28"/>
      <c r="AG161" s="28"/>
      <c r="AH161" s="28"/>
    </row>
    <row r="162" spans="2:34" s="7" customFormat="1" ht="10" customHeight="1" x14ac:dyDescent="0.35">
      <c r="B162"/>
      <c r="J162" s="75" t="s">
        <v>9</v>
      </c>
      <c r="K162" s="76"/>
      <c r="L162" s="76"/>
      <c r="M162" s="76"/>
      <c r="N162" s="76"/>
      <c r="O162" s="77"/>
      <c r="R162" s="75" t="s">
        <v>150</v>
      </c>
      <c r="S162" s="77"/>
      <c r="AE162" s="28"/>
      <c r="AF162" s="28"/>
      <c r="AG162" s="28"/>
      <c r="AH162" s="28"/>
    </row>
    <row r="163" spans="2:34" s="7" customFormat="1" ht="10" customHeight="1" thickBot="1" x14ac:dyDescent="0.4">
      <c r="B163"/>
      <c r="J163" s="78" t="s">
        <v>158</v>
      </c>
      <c r="K163" s="79"/>
      <c r="L163" s="79"/>
      <c r="M163" s="79"/>
      <c r="N163" s="79"/>
      <c r="O163" s="80"/>
      <c r="R163" s="75" t="s">
        <v>3</v>
      </c>
      <c r="S163" s="77"/>
      <c r="AE163" s="28"/>
      <c r="AF163" s="28"/>
      <c r="AG163" s="28"/>
      <c r="AH163" s="28"/>
    </row>
    <row r="164" spans="2:34" s="7" customFormat="1" ht="10" customHeight="1" x14ac:dyDescent="0.35">
      <c r="B164"/>
      <c r="R164" s="75" t="s">
        <v>4</v>
      </c>
      <c r="S164" s="77"/>
      <c r="AE164" s="28"/>
      <c r="AF164" s="28"/>
      <c r="AG164" s="28"/>
      <c r="AH164" s="28"/>
    </row>
    <row r="165" spans="2:34" s="7" customFormat="1" ht="10" customHeight="1" x14ac:dyDescent="0.35">
      <c r="B165"/>
      <c r="R165" s="75" t="s">
        <v>1</v>
      </c>
      <c r="S165" s="77"/>
      <c r="AE165" s="28"/>
      <c r="AF165" s="28"/>
      <c r="AG165" s="28"/>
      <c r="AH165" s="28"/>
    </row>
    <row r="166" spans="2:34" s="7" customFormat="1" ht="10" customHeight="1" x14ac:dyDescent="0.35">
      <c r="B166"/>
      <c r="R166" s="75" t="s">
        <v>147</v>
      </c>
      <c r="S166" s="77"/>
      <c r="AE166" s="28"/>
      <c r="AF166" s="28"/>
      <c r="AG166" s="28"/>
      <c r="AH166" s="28"/>
    </row>
    <row r="167" spans="2:34" s="7" customFormat="1" ht="10" customHeight="1" x14ac:dyDescent="0.35">
      <c r="B167"/>
      <c r="R167" s="75" t="s">
        <v>10</v>
      </c>
      <c r="S167" s="77"/>
      <c r="AE167" s="28"/>
      <c r="AF167" s="28"/>
      <c r="AG167" s="28"/>
      <c r="AH167" s="28"/>
    </row>
    <row r="168" spans="2:34" s="7" customFormat="1" ht="10" customHeight="1" x14ac:dyDescent="0.35">
      <c r="B168"/>
      <c r="R168" s="75" t="s">
        <v>6</v>
      </c>
      <c r="S168" s="77"/>
      <c r="AE168" s="28"/>
      <c r="AF168" s="28"/>
      <c r="AG168" s="28"/>
      <c r="AH168" s="28"/>
    </row>
    <row r="169" spans="2:34" s="7" customFormat="1" ht="10" customHeight="1" x14ac:dyDescent="0.35">
      <c r="B169"/>
      <c r="R169" s="75" t="s">
        <v>8</v>
      </c>
      <c r="S169" s="77"/>
      <c r="AE169" s="28"/>
      <c r="AF169" s="28"/>
      <c r="AG169" s="28"/>
      <c r="AH169" s="28"/>
    </row>
    <row r="170" spans="2:34" s="7" customFormat="1" ht="10" customHeight="1" x14ac:dyDescent="0.35">
      <c r="B170"/>
      <c r="R170" s="75" t="s">
        <v>9</v>
      </c>
      <c r="S170" s="77"/>
      <c r="AE170" s="28"/>
      <c r="AF170" s="28"/>
      <c r="AG170" s="28"/>
      <c r="AH170" s="28"/>
    </row>
    <row r="171" spans="2:34" s="7" customFormat="1" ht="10" customHeight="1" thickBot="1" x14ac:dyDescent="0.4">
      <c r="B171"/>
      <c r="R171" s="78" t="s">
        <v>158</v>
      </c>
      <c r="S171" s="80"/>
      <c r="AE171" s="28"/>
      <c r="AF171" s="28"/>
      <c r="AG171" s="28"/>
      <c r="AH171" s="28"/>
    </row>
    <row r="172" spans="2:34" s="7" customFormat="1" ht="10" customHeight="1" x14ac:dyDescent="0.35">
      <c r="B172"/>
      <c r="AE172" s="28"/>
      <c r="AF172" s="28"/>
      <c r="AG172" s="28"/>
      <c r="AH172" s="28"/>
    </row>
    <row r="173" spans="2:34" s="7" customFormat="1" ht="10" customHeight="1" thickBot="1" x14ac:dyDescent="0.4">
      <c r="B173"/>
      <c r="D173" s="25">
        <v>0.375</v>
      </c>
      <c r="E173" s="25">
        <v>0.38541666666666669</v>
      </c>
      <c r="F173" s="25">
        <v>0.39583333333333298</v>
      </c>
      <c r="G173" s="25">
        <v>0.40625</v>
      </c>
      <c r="H173" s="25">
        <v>0.41666666666666702</v>
      </c>
      <c r="I173" s="25">
        <v>0.4236111111111111</v>
      </c>
      <c r="J173" s="25">
        <v>0.43055555555555558</v>
      </c>
      <c r="K173" s="25">
        <v>0.4375</v>
      </c>
      <c r="L173" s="25">
        <v>0.44444444444444442</v>
      </c>
      <c r="M173" s="25">
        <v>0.45833333333333331</v>
      </c>
      <c r="N173" s="25">
        <v>0.47222222222222227</v>
      </c>
      <c r="O173" s="25">
        <v>0.4861111111111111</v>
      </c>
      <c r="P173" s="25">
        <v>0.5</v>
      </c>
      <c r="Q173" s="25">
        <v>0.51041666666666663</v>
      </c>
      <c r="R173" s="25">
        <v>0.52083333333333337</v>
      </c>
      <c r="S173" s="25">
        <v>0.53125</v>
      </c>
      <c r="T173" s="25">
        <v>0.54166666666666663</v>
      </c>
      <c r="U173" s="25">
        <v>0.55555555555555558</v>
      </c>
      <c r="V173" s="25">
        <v>0.56944444444444442</v>
      </c>
      <c r="W173" s="25">
        <v>0.58333333333333337</v>
      </c>
      <c r="X173" s="25">
        <v>0.59722222222222221</v>
      </c>
      <c r="Y173" s="25">
        <v>0.61111111111111105</v>
      </c>
      <c r="Z173" s="25">
        <v>0.625</v>
      </c>
      <c r="AA173" s="25">
        <v>0.63888888888888895</v>
      </c>
      <c r="AE173" s="28"/>
      <c r="AF173" s="28"/>
      <c r="AG173" s="28"/>
      <c r="AH173" s="28"/>
    </row>
    <row r="174" spans="2:34" s="7" customFormat="1" ht="10" customHeight="1" thickBot="1" x14ac:dyDescent="0.4">
      <c r="B174"/>
      <c r="D174" s="45" t="s">
        <v>159</v>
      </c>
      <c r="E174" s="47"/>
      <c r="F174" s="45" t="s">
        <v>204</v>
      </c>
      <c r="G174" s="47"/>
      <c r="H174" s="45" t="s">
        <v>78</v>
      </c>
      <c r="I174" s="47"/>
      <c r="J174" s="43" t="s">
        <v>109</v>
      </c>
      <c r="K174" s="46"/>
      <c r="L174" s="44"/>
      <c r="M174" s="43" t="s">
        <v>110</v>
      </c>
      <c r="N174" s="46"/>
      <c r="O174" s="44"/>
      <c r="P174" s="45" t="s">
        <v>112</v>
      </c>
      <c r="Q174" s="47"/>
      <c r="R174" s="45" t="s">
        <v>113</v>
      </c>
      <c r="S174" s="46"/>
      <c r="T174" s="43" t="s">
        <v>111</v>
      </c>
      <c r="U174" s="44"/>
      <c r="V174" s="43" t="s">
        <v>114</v>
      </c>
      <c r="W174" s="44"/>
      <c r="X174" s="43" t="s">
        <v>205</v>
      </c>
      <c r="Y174" s="44"/>
      <c r="Z174" s="26" t="s">
        <v>206</v>
      </c>
      <c r="AA174" s="27"/>
      <c r="AE174" s="28"/>
      <c r="AF174" s="28"/>
      <c r="AG174" s="28"/>
      <c r="AH174" s="28"/>
    </row>
    <row r="175" spans="2:34" s="7" customFormat="1" ht="10" customHeight="1" x14ac:dyDescent="0.35">
      <c r="B175"/>
      <c r="C175" s="7" t="s">
        <v>120</v>
      </c>
      <c r="AB175" s="7">
        <v>0</v>
      </c>
      <c r="AE175" s="28"/>
      <c r="AF175" s="28"/>
      <c r="AG175" s="28"/>
      <c r="AH175" s="28"/>
    </row>
    <row r="176" spans="2:34" s="7" customFormat="1" ht="10" customHeight="1" thickBot="1" x14ac:dyDescent="0.4">
      <c r="B176"/>
      <c r="D176" s="25">
        <v>0.375</v>
      </c>
      <c r="E176" s="25">
        <v>0.38541666666666669</v>
      </c>
      <c r="F176" s="25">
        <v>0.39583333333333298</v>
      </c>
      <c r="G176" s="25">
        <v>0.40625</v>
      </c>
      <c r="H176" s="25">
        <v>0.41666666666666702</v>
      </c>
      <c r="I176" s="25">
        <v>0.4236111111111111</v>
      </c>
      <c r="J176" s="25">
        <v>0.43055555555555558</v>
      </c>
      <c r="K176" s="25">
        <v>0.4375</v>
      </c>
      <c r="L176" s="25">
        <v>0.44444444444444442</v>
      </c>
      <c r="M176" s="25">
        <v>0.45833333333333331</v>
      </c>
      <c r="N176" s="25">
        <v>0.47222222222222227</v>
      </c>
      <c r="O176" s="25">
        <v>0.4861111111111111</v>
      </c>
      <c r="P176" s="25">
        <v>0.5</v>
      </c>
      <c r="Q176" s="25">
        <v>0.51041666666666663</v>
      </c>
      <c r="R176" s="25">
        <v>0.52083333333333337</v>
      </c>
      <c r="S176" s="25">
        <v>0.53125</v>
      </c>
      <c r="T176" s="25">
        <v>0.54166666666666663</v>
      </c>
      <c r="U176" s="25">
        <v>0.55555555555555558</v>
      </c>
      <c r="V176" s="25">
        <v>0.56944444444444442</v>
      </c>
      <c r="W176" s="25">
        <v>0.58333333333333337</v>
      </c>
      <c r="X176" s="25">
        <v>0.59722222222222221</v>
      </c>
      <c r="Y176" s="25">
        <v>0.61111111111111105</v>
      </c>
      <c r="Z176" s="25">
        <v>0.625</v>
      </c>
      <c r="AA176" s="25">
        <v>0.63888888888888895</v>
      </c>
      <c r="AE176" s="28"/>
      <c r="AF176" s="28"/>
      <c r="AG176" s="28"/>
      <c r="AH176" s="28"/>
    </row>
    <row r="177" spans="2:34" s="7" customFormat="1" ht="10" customHeight="1" thickBot="1" x14ac:dyDescent="0.4">
      <c r="B177"/>
      <c r="D177" s="45" t="s">
        <v>159</v>
      </c>
      <c r="E177" s="47"/>
      <c r="F177" s="45" t="s">
        <v>204</v>
      </c>
      <c r="G177" s="47"/>
      <c r="H177" s="45" t="s">
        <v>78</v>
      </c>
      <c r="I177" s="47"/>
      <c r="J177" s="43" t="s">
        <v>109</v>
      </c>
      <c r="K177" s="46"/>
      <c r="L177" s="44"/>
      <c r="M177" s="43" t="s">
        <v>110</v>
      </c>
      <c r="N177" s="46"/>
      <c r="O177" s="44"/>
      <c r="P177" s="45" t="s">
        <v>112</v>
      </c>
      <c r="Q177" s="47"/>
      <c r="R177" s="45" t="s">
        <v>113</v>
      </c>
      <c r="S177" s="46"/>
      <c r="T177" s="43" t="s">
        <v>111</v>
      </c>
      <c r="U177" s="44"/>
      <c r="V177" s="43" t="s">
        <v>114</v>
      </c>
      <c r="W177" s="44"/>
      <c r="X177" s="43" t="s">
        <v>205</v>
      </c>
      <c r="Y177" s="44"/>
      <c r="Z177" s="26" t="s">
        <v>206</v>
      </c>
      <c r="AA177" s="27"/>
      <c r="AE177" s="28"/>
      <c r="AF177" s="28"/>
      <c r="AG177" s="28"/>
      <c r="AH177" s="28"/>
    </row>
    <row r="178" spans="2:34" s="7" customFormat="1" ht="10" customHeight="1" x14ac:dyDescent="0.35">
      <c r="B178"/>
      <c r="C178" s="7" t="s">
        <v>74</v>
      </c>
      <c r="D178" s="72" t="s">
        <v>16</v>
      </c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4"/>
      <c r="AB178" s="7">
        <v>5.3299999237060547</v>
      </c>
      <c r="AE178" s="28"/>
      <c r="AF178" s="28"/>
      <c r="AG178" s="28"/>
      <c r="AH178" s="28"/>
    </row>
    <row r="179" spans="2:34" s="7" customFormat="1" ht="10" customHeight="1" x14ac:dyDescent="0.35">
      <c r="B179"/>
      <c r="D179" s="75" t="s">
        <v>155</v>
      </c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7"/>
      <c r="AE179" s="28"/>
      <c r="AF179" s="28"/>
      <c r="AG179" s="28"/>
      <c r="AH179" s="28"/>
    </row>
    <row r="180" spans="2:34" s="7" customFormat="1" ht="10" customHeight="1" x14ac:dyDescent="0.35">
      <c r="B180"/>
      <c r="D180" s="75" t="s">
        <v>116</v>
      </c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7"/>
      <c r="AE180" s="28"/>
      <c r="AF180" s="28"/>
      <c r="AG180" s="28"/>
      <c r="AH180" s="28"/>
    </row>
    <row r="181" spans="2:34" s="7" customFormat="1" ht="10" customHeight="1" x14ac:dyDescent="0.35">
      <c r="B181"/>
      <c r="D181" s="75" t="s">
        <v>74</v>
      </c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7"/>
      <c r="AE181" s="28"/>
      <c r="AF181" s="28"/>
      <c r="AG181" s="28"/>
      <c r="AH181" s="28"/>
    </row>
    <row r="182" spans="2:34" s="7" customFormat="1" ht="10" customHeight="1" x14ac:dyDescent="0.35">
      <c r="B182"/>
      <c r="D182" s="75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7"/>
      <c r="AE182" s="28"/>
      <c r="AF182" s="28"/>
      <c r="AG182" s="28"/>
      <c r="AH182" s="28"/>
    </row>
    <row r="183" spans="2:34" s="7" customFormat="1" ht="10" customHeight="1" thickBot="1" x14ac:dyDescent="0.4">
      <c r="B183"/>
      <c r="D183" s="78" t="s">
        <v>16</v>
      </c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80"/>
      <c r="AE183" s="28"/>
      <c r="AF183" s="28"/>
      <c r="AG183" s="28"/>
      <c r="AH183" s="28"/>
    </row>
    <row r="184" spans="2:34" s="7" customFormat="1" ht="10" customHeight="1" x14ac:dyDescent="0.35">
      <c r="B184"/>
      <c r="AE184" s="28"/>
      <c r="AF184" s="28"/>
      <c r="AG184" s="28"/>
      <c r="AH184" s="28"/>
    </row>
    <row r="185" spans="2:34" s="7" customFormat="1" ht="10" customHeight="1" thickBot="1" x14ac:dyDescent="0.4">
      <c r="B185"/>
      <c r="D185" s="25">
        <v>0.375</v>
      </c>
      <c r="E185" s="25">
        <v>0.38541666666666669</v>
      </c>
      <c r="F185" s="25">
        <v>0.39583333333333298</v>
      </c>
      <c r="G185" s="25">
        <v>0.40625</v>
      </c>
      <c r="H185" s="25">
        <v>0.41666666666666702</v>
      </c>
      <c r="I185" s="25">
        <v>0.4236111111111111</v>
      </c>
      <c r="J185" s="25">
        <v>0.43055555555555558</v>
      </c>
      <c r="K185" s="25">
        <v>0.4375</v>
      </c>
      <c r="L185" s="25">
        <v>0.44444444444444442</v>
      </c>
      <c r="M185" s="25">
        <v>0.45833333333333331</v>
      </c>
      <c r="N185" s="25">
        <v>0.47222222222222227</v>
      </c>
      <c r="O185" s="25">
        <v>0.4861111111111111</v>
      </c>
      <c r="P185" s="25">
        <v>0.5</v>
      </c>
      <c r="Q185" s="25">
        <v>0.51041666666666663</v>
      </c>
      <c r="R185" s="25">
        <v>0.52083333333333337</v>
      </c>
      <c r="S185" s="25">
        <v>0.53125</v>
      </c>
      <c r="T185" s="25">
        <v>0.54166666666666663</v>
      </c>
      <c r="U185" s="25">
        <v>0.55555555555555558</v>
      </c>
      <c r="V185" s="25">
        <v>0.56944444444444442</v>
      </c>
      <c r="W185" s="25">
        <v>0.58333333333333337</v>
      </c>
      <c r="X185" s="25">
        <v>0.59722222222222221</v>
      </c>
      <c r="Y185" s="25">
        <v>0.61111111111111105</v>
      </c>
      <c r="Z185" s="25">
        <v>0.625</v>
      </c>
      <c r="AA185" s="25">
        <v>0.63888888888888895</v>
      </c>
      <c r="AE185" s="28"/>
      <c r="AF185" s="28"/>
      <c r="AG185" s="28"/>
      <c r="AH185" s="28"/>
    </row>
    <row r="186" spans="2:34" s="7" customFormat="1" ht="10" customHeight="1" thickBot="1" x14ac:dyDescent="0.4">
      <c r="B186"/>
      <c r="D186" s="45" t="s">
        <v>159</v>
      </c>
      <c r="E186" s="47"/>
      <c r="F186" s="45" t="s">
        <v>204</v>
      </c>
      <c r="G186" s="47"/>
      <c r="H186" s="45" t="s">
        <v>78</v>
      </c>
      <c r="I186" s="47"/>
      <c r="J186" s="43" t="s">
        <v>109</v>
      </c>
      <c r="K186" s="46"/>
      <c r="L186" s="44"/>
      <c r="M186" s="43" t="s">
        <v>110</v>
      </c>
      <c r="N186" s="46"/>
      <c r="O186" s="44"/>
      <c r="P186" s="45" t="s">
        <v>112</v>
      </c>
      <c r="Q186" s="47"/>
      <c r="R186" s="45" t="s">
        <v>113</v>
      </c>
      <c r="S186" s="46"/>
      <c r="T186" s="43" t="s">
        <v>111</v>
      </c>
      <c r="U186" s="44"/>
      <c r="V186" s="43" t="s">
        <v>114</v>
      </c>
      <c r="W186" s="44"/>
      <c r="X186" s="43" t="s">
        <v>205</v>
      </c>
      <c r="Y186" s="44"/>
      <c r="Z186" s="26" t="s">
        <v>206</v>
      </c>
      <c r="AA186" s="27"/>
      <c r="AE186" s="28"/>
      <c r="AF186" s="28"/>
      <c r="AG186" s="28"/>
      <c r="AH186" s="28"/>
    </row>
    <row r="187" spans="2:34" s="7" customFormat="1" ht="10" customHeight="1" x14ac:dyDescent="0.35">
      <c r="B187"/>
      <c r="C187" s="7" t="s">
        <v>76</v>
      </c>
      <c r="AB187" s="7">
        <v>0</v>
      </c>
      <c r="AE187" s="28"/>
      <c r="AF187" s="28"/>
      <c r="AG187" s="28"/>
      <c r="AH187" s="28"/>
    </row>
    <row r="188" spans="2:34" s="7" customFormat="1" ht="10" customHeight="1" thickBot="1" x14ac:dyDescent="0.4">
      <c r="B188"/>
      <c r="D188" s="25">
        <v>0.375</v>
      </c>
      <c r="E188" s="25">
        <v>0.38541666666666669</v>
      </c>
      <c r="F188" s="25">
        <v>0.39583333333333298</v>
      </c>
      <c r="G188" s="25">
        <v>0.40625</v>
      </c>
      <c r="H188" s="25">
        <v>0.41666666666666702</v>
      </c>
      <c r="I188" s="25">
        <v>0.4236111111111111</v>
      </c>
      <c r="J188" s="25">
        <v>0.43055555555555558</v>
      </c>
      <c r="K188" s="25">
        <v>0.4375</v>
      </c>
      <c r="L188" s="25">
        <v>0.44444444444444442</v>
      </c>
      <c r="M188" s="25">
        <v>0.45833333333333331</v>
      </c>
      <c r="N188" s="25">
        <v>0.47222222222222227</v>
      </c>
      <c r="O188" s="25">
        <v>0.4861111111111111</v>
      </c>
      <c r="P188" s="25">
        <v>0.5</v>
      </c>
      <c r="Q188" s="25">
        <v>0.51041666666666663</v>
      </c>
      <c r="R188" s="25">
        <v>0.52083333333333337</v>
      </c>
      <c r="S188" s="25">
        <v>0.53125</v>
      </c>
      <c r="T188" s="25">
        <v>0.54166666666666663</v>
      </c>
      <c r="U188" s="25">
        <v>0.55555555555555558</v>
      </c>
      <c r="V188" s="25">
        <v>0.56944444444444442</v>
      </c>
      <c r="W188" s="25">
        <v>0.58333333333333337</v>
      </c>
      <c r="X188" s="25">
        <v>0.59722222222222221</v>
      </c>
      <c r="Y188" s="25">
        <v>0.61111111111111105</v>
      </c>
      <c r="Z188" s="25">
        <v>0.625</v>
      </c>
      <c r="AA188" s="25">
        <v>0.63888888888888895</v>
      </c>
      <c r="AE188" s="28"/>
      <c r="AF188" s="28"/>
      <c r="AG188" s="28"/>
      <c r="AH188" s="28"/>
    </row>
    <row r="189" spans="2:34" s="7" customFormat="1" ht="10" customHeight="1" thickBot="1" x14ac:dyDescent="0.4">
      <c r="B189"/>
      <c r="D189" s="45" t="s">
        <v>159</v>
      </c>
      <c r="E189" s="47"/>
      <c r="F189" s="45" t="s">
        <v>204</v>
      </c>
      <c r="G189" s="47"/>
      <c r="H189" s="45" t="s">
        <v>78</v>
      </c>
      <c r="I189" s="47"/>
      <c r="J189" s="43" t="s">
        <v>109</v>
      </c>
      <c r="K189" s="46"/>
      <c r="L189" s="44"/>
      <c r="M189" s="43" t="s">
        <v>110</v>
      </c>
      <c r="N189" s="46"/>
      <c r="O189" s="44"/>
      <c r="P189" s="45" t="s">
        <v>112</v>
      </c>
      <c r="Q189" s="47"/>
      <c r="R189" s="45" t="s">
        <v>113</v>
      </c>
      <c r="S189" s="46"/>
      <c r="T189" s="43" t="s">
        <v>111</v>
      </c>
      <c r="U189" s="44"/>
      <c r="V189" s="43" t="s">
        <v>114</v>
      </c>
      <c r="W189" s="44"/>
      <c r="X189" s="43" t="s">
        <v>205</v>
      </c>
      <c r="Y189" s="44"/>
      <c r="Z189" s="26" t="s">
        <v>206</v>
      </c>
      <c r="AA189" s="27"/>
      <c r="AE189" s="28"/>
      <c r="AF189" s="28"/>
      <c r="AG189" s="28"/>
      <c r="AH189" s="28"/>
    </row>
    <row r="190" spans="2:34" s="7" customFormat="1" ht="10" customHeight="1" x14ac:dyDescent="0.35">
      <c r="B190"/>
      <c r="C190" s="7" t="s">
        <v>119</v>
      </c>
      <c r="AB190" s="7">
        <v>0</v>
      </c>
      <c r="AE190" s="28"/>
      <c r="AF190" s="28"/>
      <c r="AG190" s="28"/>
      <c r="AH190" s="28"/>
    </row>
    <row r="191" spans="2:34" s="7" customFormat="1" ht="10" customHeight="1" thickBot="1" x14ac:dyDescent="0.4">
      <c r="B191"/>
      <c r="D191" s="25">
        <v>0.375</v>
      </c>
      <c r="E191" s="25">
        <v>0.38541666666666669</v>
      </c>
      <c r="F191" s="25">
        <v>0.39583333333333298</v>
      </c>
      <c r="G191" s="25">
        <v>0.40625</v>
      </c>
      <c r="H191" s="25">
        <v>0.41666666666666702</v>
      </c>
      <c r="I191" s="25">
        <v>0.4236111111111111</v>
      </c>
      <c r="J191" s="25">
        <v>0.43055555555555558</v>
      </c>
      <c r="K191" s="25">
        <v>0.4375</v>
      </c>
      <c r="L191" s="25">
        <v>0.44444444444444442</v>
      </c>
      <c r="M191" s="25">
        <v>0.45833333333333331</v>
      </c>
      <c r="N191" s="25">
        <v>0.47222222222222227</v>
      </c>
      <c r="O191" s="25">
        <v>0.4861111111111111</v>
      </c>
      <c r="P191" s="25">
        <v>0.5</v>
      </c>
      <c r="Q191" s="25">
        <v>0.51041666666666663</v>
      </c>
      <c r="R191" s="25">
        <v>0.52083333333333337</v>
      </c>
      <c r="S191" s="25">
        <v>0.53125</v>
      </c>
      <c r="T191" s="25">
        <v>0.54166666666666663</v>
      </c>
      <c r="U191" s="25">
        <v>0.55555555555555558</v>
      </c>
      <c r="V191" s="25">
        <v>0.56944444444444442</v>
      </c>
      <c r="W191" s="25">
        <v>0.58333333333333337</v>
      </c>
      <c r="X191" s="25">
        <v>0.59722222222222221</v>
      </c>
      <c r="Y191" s="25">
        <v>0.61111111111111105</v>
      </c>
      <c r="Z191" s="25">
        <v>0.625</v>
      </c>
      <c r="AA191" s="25">
        <v>0.63888888888888895</v>
      </c>
      <c r="AE191" s="28"/>
      <c r="AF191" s="28"/>
      <c r="AG191" s="28"/>
      <c r="AH191" s="28"/>
    </row>
    <row r="192" spans="2:34" s="7" customFormat="1" ht="10" customHeight="1" thickBot="1" x14ac:dyDescent="0.4">
      <c r="B192"/>
      <c r="D192" s="45" t="s">
        <v>159</v>
      </c>
      <c r="E192" s="47"/>
      <c r="F192" s="45" t="s">
        <v>204</v>
      </c>
      <c r="G192" s="47"/>
      <c r="H192" s="45" t="s">
        <v>78</v>
      </c>
      <c r="I192" s="47"/>
      <c r="J192" s="43" t="s">
        <v>109</v>
      </c>
      <c r="K192" s="46"/>
      <c r="L192" s="44"/>
      <c r="M192" s="43" t="s">
        <v>110</v>
      </c>
      <c r="N192" s="46"/>
      <c r="O192" s="44"/>
      <c r="P192" s="45" t="s">
        <v>112</v>
      </c>
      <c r="Q192" s="47"/>
      <c r="R192" s="45" t="s">
        <v>113</v>
      </c>
      <c r="S192" s="46"/>
      <c r="T192" s="43" t="s">
        <v>111</v>
      </c>
      <c r="U192" s="44"/>
      <c r="V192" s="43" t="s">
        <v>114</v>
      </c>
      <c r="W192" s="44"/>
      <c r="X192" s="43" t="s">
        <v>205</v>
      </c>
      <c r="Y192" s="44"/>
      <c r="Z192" s="26" t="s">
        <v>206</v>
      </c>
      <c r="AA192" s="27"/>
      <c r="AE192" s="28"/>
      <c r="AF192" s="28"/>
      <c r="AG192" s="28"/>
      <c r="AH192" s="28"/>
    </row>
    <row r="193" spans="2:34" s="7" customFormat="1" ht="10" customHeight="1" x14ac:dyDescent="0.35">
      <c r="B193"/>
      <c r="C193" s="7" t="s">
        <v>69</v>
      </c>
      <c r="D193" s="72" t="s">
        <v>160</v>
      </c>
      <c r="E193" s="73"/>
      <c r="F193" s="81" t="s">
        <v>97</v>
      </c>
      <c r="G193" s="74"/>
      <c r="J193" s="72" t="s">
        <v>0</v>
      </c>
      <c r="K193" s="73"/>
      <c r="L193" s="73"/>
      <c r="M193" s="73"/>
      <c r="N193" s="73"/>
      <c r="O193" s="74"/>
      <c r="P193" s="72" t="s">
        <v>112</v>
      </c>
      <c r="Q193" s="74"/>
      <c r="T193" s="72" t="s">
        <v>0</v>
      </c>
      <c r="U193" s="73"/>
      <c r="V193" s="73"/>
      <c r="W193" s="73"/>
      <c r="X193" s="73"/>
      <c r="Y193" s="73"/>
      <c r="Z193" s="74"/>
      <c r="AB193" s="7">
        <v>5.5</v>
      </c>
      <c r="AE193" s="28"/>
      <c r="AF193" s="28"/>
      <c r="AG193" s="28"/>
      <c r="AH193" s="28"/>
    </row>
    <row r="194" spans="2:34" s="7" customFormat="1" ht="10" customHeight="1" x14ac:dyDescent="0.35">
      <c r="B194"/>
      <c r="D194" s="75" t="s">
        <v>141</v>
      </c>
      <c r="E194" s="76"/>
      <c r="F194" s="82" t="s">
        <v>141</v>
      </c>
      <c r="G194" s="77"/>
      <c r="J194" s="75" t="s">
        <v>141</v>
      </c>
      <c r="K194" s="76"/>
      <c r="L194" s="76"/>
      <c r="M194" s="76"/>
      <c r="N194" s="76"/>
      <c r="O194" s="77"/>
      <c r="P194" s="75" t="s">
        <v>187</v>
      </c>
      <c r="Q194" s="77"/>
      <c r="T194" s="75" t="s">
        <v>141</v>
      </c>
      <c r="U194" s="76"/>
      <c r="V194" s="76"/>
      <c r="W194" s="76"/>
      <c r="X194" s="76"/>
      <c r="Y194" s="76"/>
      <c r="Z194" s="77"/>
      <c r="AE194" s="28"/>
      <c r="AF194" s="28"/>
      <c r="AG194" s="28"/>
      <c r="AH194" s="28"/>
    </row>
    <row r="195" spans="2:34" s="7" customFormat="1" ht="10" customHeight="1" x14ac:dyDescent="0.35">
      <c r="B195"/>
      <c r="D195" s="75" t="s">
        <v>69</v>
      </c>
      <c r="E195" s="76"/>
      <c r="F195" s="82" t="s">
        <v>83</v>
      </c>
      <c r="G195" s="77"/>
      <c r="J195" s="75" t="s">
        <v>75</v>
      </c>
      <c r="K195" s="76"/>
      <c r="L195" s="76"/>
      <c r="M195" s="76"/>
      <c r="N195" s="76"/>
      <c r="O195" s="77"/>
      <c r="P195" s="75" t="s">
        <v>75</v>
      </c>
      <c r="Q195" s="77"/>
      <c r="T195" s="75" t="s">
        <v>117</v>
      </c>
      <c r="U195" s="76"/>
      <c r="V195" s="76"/>
      <c r="W195" s="76"/>
      <c r="X195" s="76"/>
      <c r="Y195" s="76"/>
      <c r="Z195" s="77"/>
      <c r="AE195" s="28"/>
      <c r="AF195" s="28"/>
      <c r="AG195" s="28"/>
      <c r="AH195" s="28"/>
    </row>
    <row r="196" spans="2:34" s="7" customFormat="1" ht="10" customHeight="1" x14ac:dyDescent="0.35">
      <c r="B196"/>
      <c r="D196" s="75" t="s">
        <v>81</v>
      </c>
      <c r="E196" s="76"/>
      <c r="F196" s="82" t="s">
        <v>161</v>
      </c>
      <c r="G196" s="77"/>
      <c r="J196" s="75" t="s">
        <v>69</v>
      </c>
      <c r="K196" s="76"/>
      <c r="L196" s="76"/>
      <c r="M196" s="76"/>
      <c r="N196" s="76"/>
      <c r="O196" s="77"/>
      <c r="P196" s="75" t="s">
        <v>79</v>
      </c>
      <c r="Q196" s="77"/>
      <c r="T196" s="75" t="s">
        <v>118</v>
      </c>
      <c r="U196" s="76"/>
      <c r="V196" s="76"/>
      <c r="W196" s="76"/>
      <c r="X196" s="76"/>
      <c r="Y196" s="76"/>
      <c r="Z196" s="77"/>
      <c r="AE196" s="28"/>
      <c r="AF196" s="28"/>
      <c r="AG196" s="28"/>
      <c r="AH196" s="28"/>
    </row>
    <row r="197" spans="2:34" s="7" customFormat="1" ht="10" customHeight="1" x14ac:dyDescent="0.35">
      <c r="B197"/>
      <c r="D197" s="75" t="s">
        <v>71</v>
      </c>
      <c r="E197" s="76"/>
      <c r="F197" s="82" t="s">
        <v>69</v>
      </c>
      <c r="G197" s="77"/>
      <c r="J197" s="75" t="s">
        <v>81</v>
      </c>
      <c r="K197" s="76"/>
      <c r="L197" s="76"/>
      <c r="M197" s="76"/>
      <c r="N197" s="76"/>
      <c r="O197" s="77"/>
      <c r="P197" s="75" t="s">
        <v>72</v>
      </c>
      <c r="Q197" s="77"/>
      <c r="T197" s="75" t="s">
        <v>69</v>
      </c>
      <c r="U197" s="76"/>
      <c r="V197" s="76"/>
      <c r="W197" s="76"/>
      <c r="X197" s="76"/>
      <c r="Y197" s="76"/>
      <c r="Z197" s="77"/>
      <c r="AE197" s="28"/>
      <c r="AF197" s="28"/>
      <c r="AG197" s="28"/>
      <c r="AH197" s="28"/>
    </row>
    <row r="198" spans="2:34" s="7" customFormat="1" ht="10" customHeight="1" x14ac:dyDescent="0.35">
      <c r="B198"/>
      <c r="D198" s="75"/>
      <c r="E198" s="76"/>
      <c r="F198" s="82" t="s">
        <v>99</v>
      </c>
      <c r="G198" s="77"/>
      <c r="J198" s="75" t="s">
        <v>71</v>
      </c>
      <c r="K198" s="76"/>
      <c r="L198" s="76"/>
      <c r="M198" s="76"/>
      <c r="N198" s="76"/>
      <c r="O198" s="77"/>
      <c r="P198" s="75" t="s">
        <v>69</v>
      </c>
      <c r="Q198" s="77"/>
      <c r="T198" s="75" t="s">
        <v>70</v>
      </c>
      <c r="U198" s="76"/>
      <c r="V198" s="76"/>
      <c r="W198" s="76"/>
      <c r="X198" s="76"/>
      <c r="Y198" s="76"/>
      <c r="Z198" s="77"/>
      <c r="AE198" s="28"/>
      <c r="AF198" s="28"/>
      <c r="AG198" s="28"/>
      <c r="AH198" s="28"/>
    </row>
    <row r="199" spans="2:34" s="7" customFormat="1" ht="10" customHeight="1" x14ac:dyDescent="0.35">
      <c r="B199"/>
      <c r="D199" s="75" t="s">
        <v>3</v>
      </c>
      <c r="E199" s="76"/>
      <c r="F199" s="82" t="s">
        <v>71</v>
      </c>
      <c r="G199" s="77"/>
      <c r="J199" s="75"/>
      <c r="K199" s="76"/>
      <c r="L199" s="76"/>
      <c r="M199" s="76"/>
      <c r="N199" s="76"/>
      <c r="O199" s="77"/>
      <c r="P199" s="75" t="s">
        <v>82</v>
      </c>
      <c r="Q199" s="77"/>
      <c r="T199" s="75"/>
      <c r="U199" s="76"/>
      <c r="V199" s="76"/>
      <c r="W199" s="76"/>
      <c r="X199" s="76"/>
      <c r="Y199" s="76"/>
      <c r="Z199" s="77"/>
      <c r="AE199" s="28"/>
      <c r="AF199" s="28"/>
      <c r="AG199" s="28"/>
      <c r="AH199" s="28"/>
    </row>
    <row r="200" spans="2:34" s="7" customFormat="1" ht="10" customHeight="1" x14ac:dyDescent="0.35">
      <c r="B200"/>
      <c r="D200" s="75" t="s">
        <v>4</v>
      </c>
      <c r="E200" s="76"/>
      <c r="F200" s="82"/>
      <c r="G200" s="77"/>
      <c r="J200" s="75" t="s">
        <v>3</v>
      </c>
      <c r="K200" s="76"/>
      <c r="L200" s="76"/>
      <c r="M200" s="76"/>
      <c r="N200" s="76"/>
      <c r="O200" s="77"/>
      <c r="P200" s="75"/>
      <c r="Q200" s="77"/>
      <c r="T200" s="75" t="s">
        <v>3</v>
      </c>
      <c r="U200" s="76"/>
      <c r="V200" s="76"/>
      <c r="W200" s="76"/>
      <c r="X200" s="76"/>
      <c r="Y200" s="76"/>
      <c r="Z200" s="77"/>
      <c r="AE200" s="28"/>
      <c r="AF200" s="28"/>
      <c r="AG200" s="28"/>
      <c r="AH200" s="28"/>
    </row>
    <row r="201" spans="2:34" s="7" customFormat="1" ht="10" customHeight="1" x14ac:dyDescent="0.35">
      <c r="B201"/>
      <c r="D201" s="75" t="s">
        <v>1</v>
      </c>
      <c r="E201" s="76"/>
      <c r="F201" s="82" t="s">
        <v>148</v>
      </c>
      <c r="G201" s="77"/>
      <c r="J201" s="75" t="s">
        <v>4</v>
      </c>
      <c r="K201" s="76"/>
      <c r="L201" s="76"/>
      <c r="M201" s="76"/>
      <c r="N201" s="76"/>
      <c r="O201" s="77"/>
      <c r="P201" s="75" t="s">
        <v>148</v>
      </c>
      <c r="Q201" s="77"/>
      <c r="T201" s="75" t="s">
        <v>4</v>
      </c>
      <c r="U201" s="76"/>
      <c r="V201" s="76"/>
      <c r="W201" s="76"/>
      <c r="X201" s="76"/>
      <c r="Y201" s="76"/>
      <c r="Z201" s="77"/>
      <c r="AE201" s="28"/>
      <c r="AF201" s="28"/>
      <c r="AG201" s="28"/>
      <c r="AH201" s="28"/>
    </row>
    <row r="202" spans="2:34" s="7" customFormat="1" ht="10" customHeight="1" thickBot="1" x14ac:dyDescent="0.4">
      <c r="B202"/>
      <c r="D202" s="78" t="s">
        <v>147</v>
      </c>
      <c r="E202" s="79"/>
      <c r="F202" s="82" t="s">
        <v>146</v>
      </c>
      <c r="G202" s="77"/>
      <c r="J202" s="75" t="s">
        <v>1</v>
      </c>
      <c r="K202" s="76"/>
      <c r="L202" s="76"/>
      <c r="M202" s="76"/>
      <c r="N202" s="76"/>
      <c r="O202" s="77"/>
      <c r="P202" s="75" t="s">
        <v>2</v>
      </c>
      <c r="Q202" s="77"/>
      <c r="T202" s="75" t="s">
        <v>1</v>
      </c>
      <c r="U202" s="76"/>
      <c r="V202" s="76"/>
      <c r="W202" s="76"/>
      <c r="X202" s="76"/>
      <c r="Y202" s="76"/>
      <c r="Z202" s="77"/>
      <c r="AE202" s="28"/>
      <c r="AF202" s="28"/>
      <c r="AG202" s="28"/>
      <c r="AH202" s="28"/>
    </row>
    <row r="203" spans="2:34" s="7" customFormat="1" ht="10" customHeight="1" thickBot="1" x14ac:dyDescent="0.4">
      <c r="B203"/>
      <c r="F203" s="82" t="s">
        <v>150</v>
      </c>
      <c r="G203" s="77"/>
      <c r="J203" s="78" t="s">
        <v>147</v>
      </c>
      <c r="K203" s="79"/>
      <c r="L203" s="79"/>
      <c r="M203" s="79"/>
      <c r="N203" s="79"/>
      <c r="O203" s="80"/>
      <c r="P203" s="75" t="s">
        <v>146</v>
      </c>
      <c r="Q203" s="77"/>
      <c r="T203" s="78" t="s">
        <v>147</v>
      </c>
      <c r="U203" s="79"/>
      <c r="V203" s="79"/>
      <c r="W203" s="79"/>
      <c r="X203" s="79"/>
      <c r="Y203" s="79"/>
      <c r="Z203" s="80"/>
      <c r="AE203" s="28"/>
      <c r="AF203" s="28"/>
      <c r="AG203" s="28"/>
      <c r="AH203" s="28"/>
    </row>
    <row r="204" spans="2:34" s="7" customFormat="1" ht="10" customHeight="1" x14ac:dyDescent="0.35">
      <c r="B204"/>
      <c r="F204" s="82" t="s">
        <v>3</v>
      </c>
      <c r="G204" s="77"/>
      <c r="P204" s="75" t="s">
        <v>150</v>
      </c>
      <c r="Q204" s="77"/>
      <c r="AE204" s="28"/>
      <c r="AF204" s="28"/>
      <c r="AG204" s="28"/>
      <c r="AH204" s="28"/>
    </row>
    <row r="205" spans="2:34" s="7" customFormat="1" ht="10" customHeight="1" x14ac:dyDescent="0.35">
      <c r="B205"/>
      <c r="F205" s="82" t="s">
        <v>157</v>
      </c>
      <c r="G205" s="77"/>
      <c r="P205" s="75" t="s">
        <v>3</v>
      </c>
      <c r="Q205" s="77"/>
      <c r="AE205" s="28"/>
      <c r="AF205" s="28"/>
      <c r="AG205" s="28"/>
      <c r="AH205" s="28"/>
    </row>
    <row r="206" spans="2:34" s="7" customFormat="1" ht="10" customHeight="1" x14ac:dyDescent="0.35">
      <c r="B206"/>
      <c r="F206" s="82" t="s">
        <v>8</v>
      </c>
      <c r="G206" s="77"/>
      <c r="P206" s="75" t="s">
        <v>4</v>
      </c>
      <c r="Q206" s="77"/>
      <c r="AE206" s="28"/>
      <c r="AF206" s="28"/>
      <c r="AG206" s="28"/>
      <c r="AH206" s="28"/>
    </row>
    <row r="207" spans="2:34" s="7" customFormat="1" ht="10" customHeight="1" thickBot="1" x14ac:dyDescent="0.4">
      <c r="B207"/>
      <c r="F207" s="83" t="s">
        <v>11</v>
      </c>
      <c r="G207" s="80"/>
      <c r="P207" s="75" t="s">
        <v>1</v>
      </c>
      <c r="Q207" s="77"/>
      <c r="AE207" s="28"/>
      <c r="AF207" s="28"/>
      <c r="AG207" s="28"/>
      <c r="AH207" s="28"/>
    </row>
    <row r="208" spans="2:34" s="7" customFormat="1" ht="10" customHeight="1" x14ac:dyDescent="0.35">
      <c r="B208"/>
      <c r="P208" s="75" t="s">
        <v>147</v>
      </c>
      <c r="Q208" s="77"/>
      <c r="AE208" s="28"/>
      <c r="AF208" s="28"/>
      <c r="AG208" s="28"/>
      <c r="AH208" s="28"/>
    </row>
    <row r="209" spans="2:34" s="7" customFormat="1" ht="10" customHeight="1" x14ac:dyDescent="0.35">
      <c r="B209"/>
      <c r="P209" s="75" t="s">
        <v>10</v>
      </c>
      <c r="Q209" s="77"/>
      <c r="AE209" s="28"/>
      <c r="AF209" s="28"/>
      <c r="AG209" s="28"/>
      <c r="AH209" s="28"/>
    </row>
    <row r="210" spans="2:34" s="7" customFormat="1" ht="10" customHeight="1" x14ac:dyDescent="0.35">
      <c r="B210"/>
      <c r="P210" s="75" t="s">
        <v>157</v>
      </c>
      <c r="Q210" s="77"/>
      <c r="AE210" s="28"/>
      <c r="AF210" s="28"/>
      <c r="AG210" s="28"/>
      <c r="AH210" s="28"/>
    </row>
    <row r="211" spans="2:34" s="7" customFormat="1" ht="10" customHeight="1" x14ac:dyDescent="0.35">
      <c r="B211"/>
      <c r="P211" s="75" t="s">
        <v>6</v>
      </c>
      <c r="Q211" s="77"/>
      <c r="AE211" s="28"/>
      <c r="AF211" s="28"/>
      <c r="AG211" s="28"/>
      <c r="AH211" s="28"/>
    </row>
    <row r="212" spans="2:34" s="7" customFormat="1" ht="10" customHeight="1" x14ac:dyDescent="0.35">
      <c r="B212"/>
      <c r="P212" s="75" t="s">
        <v>8</v>
      </c>
      <c r="Q212" s="77"/>
      <c r="AE212" s="28"/>
      <c r="AF212" s="28"/>
      <c r="AG212" s="28"/>
      <c r="AH212" s="28"/>
    </row>
    <row r="213" spans="2:34" s="7" customFormat="1" ht="10" customHeight="1" x14ac:dyDescent="0.35">
      <c r="B213"/>
      <c r="P213" s="75" t="s">
        <v>11</v>
      </c>
      <c r="Q213" s="77"/>
      <c r="AE213" s="28"/>
      <c r="AF213" s="28"/>
      <c r="AG213" s="28"/>
      <c r="AH213" s="28"/>
    </row>
    <row r="214" spans="2:34" s="7" customFormat="1" ht="10" customHeight="1" x14ac:dyDescent="0.35">
      <c r="B214"/>
      <c r="P214" s="75" t="s">
        <v>9</v>
      </c>
      <c r="Q214" s="77"/>
      <c r="AE214" s="28"/>
      <c r="AF214" s="28"/>
      <c r="AG214" s="28"/>
      <c r="AH214" s="28"/>
    </row>
    <row r="215" spans="2:34" s="7" customFormat="1" ht="10" customHeight="1" thickBot="1" x14ac:dyDescent="0.4">
      <c r="B215"/>
      <c r="P215" s="78" t="s">
        <v>158</v>
      </c>
      <c r="Q215" s="80"/>
      <c r="AE215" s="28"/>
      <c r="AF215" s="28"/>
      <c r="AG215" s="28"/>
      <c r="AH215" s="28"/>
    </row>
    <row r="216" spans="2:34" s="7" customFormat="1" ht="10" customHeight="1" x14ac:dyDescent="0.35">
      <c r="B216"/>
      <c r="AE216" s="28"/>
      <c r="AF216" s="28"/>
      <c r="AG216" s="28"/>
      <c r="AH216" s="28"/>
    </row>
    <row r="217" spans="2:34" s="7" customFormat="1" ht="10" customHeight="1" thickBot="1" x14ac:dyDescent="0.4">
      <c r="B217"/>
      <c r="D217" s="25">
        <v>0.375</v>
      </c>
      <c r="E217" s="25">
        <v>0.38541666666666669</v>
      </c>
      <c r="F217" s="25">
        <v>0.39583333333333298</v>
      </c>
      <c r="G217" s="25">
        <v>0.40625</v>
      </c>
      <c r="H217" s="25">
        <v>0.41666666666666702</v>
      </c>
      <c r="I217" s="25">
        <v>0.4236111111111111</v>
      </c>
      <c r="J217" s="25">
        <v>0.43055555555555558</v>
      </c>
      <c r="K217" s="25">
        <v>0.4375</v>
      </c>
      <c r="L217" s="25">
        <v>0.44444444444444442</v>
      </c>
      <c r="M217" s="25">
        <v>0.45833333333333331</v>
      </c>
      <c r="N217" s="25">
        <v>0.47222222222222227</v>
      </c>
      <c r="O217" s="25">
        <v>0.4861111111111111</v>
      </c>
      <c r="P217" s="25">
        <v>0.5</v>
      </c>
      <c r="Q217" s="25">
        <v>0.51041666666666663</v>
      </c>
      <c r="R217" s="25">
        <v>0.52083333333333337</v>
      </c>
      <c r="S217" s="25">
        <v>0.53125</v>
      </c>
      <c r="T217" s="25">
        <v>0.54166666666666663</v>
      </c>
      <c r="U217" s="25">
        <v>0.55555555555555558</v>
      </c>
      <c r="V217" s="25">
        <v>0.56944444444444442</v>
      </c>
      <c r="W217" s="25">
        <v>0.58333333333333337</v>
      </c>
      <c r="X217" s="25">
        <v>0.59722222222222221</v>
      </c>
      <c r="Y217" s="25">
        <v>0.61111111111111105</v>
      </c>
      <c r="Z217" s="25">
        <v>0.625</v>
      </c>
      <c r="AA217" s="25">
        <v>0.63888888888888895</v>
      </c>
      <c r="AE217" s="28"/>
      <c r="AF217" s="28"/>
      <c r="AG217" s="28"/>
      <c r="AH217" s="28"/>
    </row>
    <row r="218" spans="2:34" s="7" customFormat="1" ht="10" customHeight="1" thickBot="1" x14ac:dyDescent="0.4">
      <c r="B218"/>
      <c r="D218" s="45" t="s">
        <v>159</v>
      </c>
      <c r="E218" s="47"/>
      <c r="F218" s="45" t="s">
        <v>204</v>
      </c>
      <c r="G218" s="47"/>
      <c r="H218" s="45" t="s">
        <v>78</v>
      </c>
      <c r="I218" s="47"/>
      <c r="J218" s="43" t="s">
        <v>109</v>
      </c>
      <c r="K218" s="46"/>
      <c r="L218" s="44"/>
      <c r="M218" s="43" t="s">
        <v>110</v>
      </c>
      <c r="N218" s="46"/>
      <c r="O218" s="44"/>
      <c r="P218" s="45" t="s">
        <v>112</v>
      </c>
      <c r="Q218" s="47"/>
      <c r="R218" s="45" t="s">
        <v>113</v>
      </c>
      <c r="S218" s="46"/>
      <c r="T218" s="43" t="s">
        <v>111</v>
      </c>
      <c r="U218" s="44"/>
      <c r="V218" s="43" t="s">
        <v>114</v>
      </c>
      <c r="W218" s="44"/>
      <c r="X218" s="43" t="s">
        <v>205</v>
      </c>
      <c r="Y218" s="44"/>
      <c r="Z218" s="26" t="s">
        <v>206</v>
      </c>
      <c r="AA218" s="27"/>
      <c r="AE218" s="28"/>
      <c r="AF218" s="28"/>
      <c r="AG218" s="28"/>
      <c r="AH218" s="28"/>
    </row>
    <row r="219" spans="2:34" s="7" customFormat="1" ht="10" customHeight="1" x14ac:dyDescent="0.35">
      <c r="B219"/>
      <c r="C219" s="7" t="s">
        <v>190</v>
      </c>
      <c r="D219" s="72" t="s">
        <v>166</v>
      </c>
      <c r="E219" s="73"/>
      <c r="F219" s="81" t="s">
        <v>98</v>
      </c>
      <c r="G219" s="74"/>
      <c r="J219" s="72" t="s">
        <v>7</v>
      </c>
      <c r="K219" s="73"/>
      <c r="L219" s="73"/>
      <c r="M219" s="73"/>
      <c r="N219" s="73"/>
      <c r="O219" s="74"/>
      <c r="V219" s="72" t="s">
        <v>227</v>
      </c>
      <c r="W219" s="73"/>
      <c r="X219" s="73"/>
      <c r="Y219" s="73"/>
      <c r="Z219" s="74"/>
      <c r="AB219" s="7">
        <v>4.3400001525878906</v>
      </c>
      <c r="AE219" s="28"/>
      <c r="AF219" s="28"/>
      <c r="AG219" s="28"/>
      <c r="AH219" s="28"/>
    </row>
    <row r="220" spans="2:34" s="7" customFormat="1" ht="10" customHeight="1" x14ac:dyDescent="0.35">
      <c r="B220"/>
      <c r="D220" s="75" t="s">
        <v>143</v>
      </c>
      <c r="E220" s="76"/>
      <c r="F220" s="82" t="s">
        <v>143</v>
      </c>
      <c r="G220" s="77"/>
      <c r="J220" s="75" t="s">
        <v>143</v>
      </c>
      <c r="K220" s="76"/>
      <c r="L220" s="76"/>
      <c r="M220" s="76"/>
      <c r="N220" s="76"/>
      <c r="O220" s="77"/>
      <c r="V220" s="75" t="s">
        <v>145</v>
      </c>
      <c r="W220" s="76"/>
      <c r="X220" s="76"/>
      <c r="Y220" s="76"/>
      <c r="Z220" s="77"/>
      <c r="AE220" s="28"/>
      <c r="AF220" s="28"/>
      <c r="AG220" s="28"/>
      <c r="AH220" s="28"/>
    </row>
    <row r="221" spans="2:34" s="7" customFormat="1" ht="10" customHeight="1" x14ac:dyDescent="0.35">
      <c r="B221"/>
      <c r="D221" s="75" t="s">
        <v>70</v>
      </c>
      <c r="E221" s="76"/>
      <c r="F221" s="82" t="s">
        <v>118</v>
      </c>
      <c r="G221" s="77"/>
      <c r="J221" s="75" t="s">
        <v>79</v>
      </c>
      <c r="K221" s="76"/>
      <c r="L221" s="76"/>
      <c r="M221" s="76"/>
      <c r="N221" s="76"/>
      <c r="O221" s="77"/>
      <c r="V221" s="75" t="s">
        <v>190</v>
      </c>
      <c r="W221" s="76"/>
      <c r="X221" s="76"/>
      <c r="Y221" s="76"/>
      <c r="Z221" s="77"/>
      <c r="AE221" s="28"/>
      <c r="AF221" s="28"/>
      <c r="AG221" s="28"/>
      <c r="AH221" s="28"/>
    </row>
    <row r="222" spans="2:34" s="7" customFormat="1" ht="10" customHeight="1" x14ac:dyDescent="0.35">
      <c r="B222"/>
      <c r="D222" s="75" t="s">
        <v>190</v>
      </c>
      <c r="E222" s="76"/>
      <c r="F222" s="82" t="s">
        <v>72</v>
      </c>
      <c r="G222" s="77"/>
      <c r="J222" s="75" t="s">
        <v>77</v>
      </c>
      <c r="K222" s="76"/>
      <c r="L222" s="76"/>
      <c r="M222" s="76"/>
      <c r="N222" s="76"/>
      <c r="O222" s="77"/>
      <c r="V222" s="75"/>
      <c r="W222" s="76"/>
      <c r="X222" s="76"/>
      <c r="Y222" s="76"/>
      <c r="Z222" s="77"/>
      <c r="AE222" s="28"/>
      <c r="AF222" s="28"/>
      <c r="AG222" s="28"/>
      <c r="AH222" s="28"/>
    </row>
    <row r="223" spans="2:34" s="7" customFormat="1" ht="10" customHeight="1" thickBot="1" x14ac:dyDescent="0.4">
      <c r="B223"/>
      <c r="D223" s="75"/>
      <c r="E223" s="76"/>
      <c r="F223" s="82" t="s">
        <v>81</v>
      </c>
      <c r="G223" s="77"/>
      <c r="J223" s="75" t="s">
        <v>70</v>
      </c>
      <c r="K223" s="76"/>
      <c r="L223" s="76"/>
      <c r="M223" s="76"/>
      <c r="N223" s="76"/>
      <c r="O223" s="77"/>
      <c r="V223" s="78" t="s">
        <v>10</v>
      </c>
      <c r="W223" s="79"/>
      <c r="X223" s="79"/>
      <c r="Y223" s="79"/>
      <c r="Z223" s="80"/>
      <c r="AE223" s="28"/>
      <c r="AF223" s="28"/>
      <c r="AG223" s="28"/>
      <c r="AH223" s="28"/>
    </row>
    <row r="224" spans="2:34" s="7" customFormat="1" ht="10" customHeight="1" x14ac:dyDescent="0.35">
      <c r="B224"/>
      <c r="D224" s="75" t="s">
        <v>10</v>
      </c>
      <c r="E224" s="76"/>
      <c r="F224" s="82" t="s">
        <v>190</v>
      </c>
      <c r="G224" s="77"/>
      <c r="J224" s="75" t="s">
        <v>190</v>
      </c>
      <c r="K224" s="76"/>
      <c r="L224" s="76"/>
      <c r="M224" s="76"/>
      <c r="N224" s="76"/>
      <c r="O224" s="77"/>
      <c r="AE224" s="28"/>
      <c r="AF224" s="28"/>
      <c r="AG224" s="28"/>
      <c r="AH224" s="28"/>
    </row>
    <row r="225" spans="2:34" s="7" customFormat="1" ht="10" customHeight="1" x14ac:dyDescent="0.35">
      <c r="B225"/>
      <c r="D225" s="75" t="s">
        <v>157</v>
      </c>
      <c r="E225" s="76"/>
      <c r="F225" s="82" t="s">
        <v>70</v>
      </c>
      <c r="G225" s="77"/>
      <c r="J225" s="75"/>
      <c r="K225" s="76"/>
      <c r="L225" s="76"/>
      <c r="M225" s="76"/>
      <c r="N225" s="76"/>
      <c r="O225" s="77"/>
      <c r="AE225" s="28"/>
      <c r="AF225" s="28"/>
      <c r="AG225" s="28"/>
      <c r="AH225" s="28"/>
    </row>
    <row r="226" spans="2:34" s="7" customFormat="1" ht="10" customHeight="1" x14ac:dyDescent="0.35">
      <c r="B226"/>
      <c r="D226" s="75" t="s">
        <v>6</v>
      </c>
      <c r="E226" s="76"/>
      <c r="F226" s="82"/>
      <c r="G226" s="77"/>
      <c r="J226" s="75" t="s">
        <v>10</v>
      </c>
      <c r="K226" s="76"/>
      <c r="L226" s="76"/>
      <c r="M226" s="76"/>
      <c r="N226" s="76"/>
      <c r="O226" s="77"/>
      <c r="AE226" s="28"/>
      <c r="AF226" s="28"/>
      <c r="AG226" s="28"/>
      <c r="AH226" s="28"/>
    </row>
    <row r="227" spans="2:34" s="7" customFormat="1" ht="10" customHeight="1" x14ac:dyDescent="0.35">
      <c r="B227"/>
      <c r="D227" s="75" t="s">
        <v>8</v>
      </c>
      <c r="E227" s="76"/>
      <c r="F227" s="82" t="s">
        <v>2</v>
      </c>
      <c r="G227" s="77"/>
      <c r="J227" s="75" t="s">
        <v>157</v>
      </c>
      <c r="K227" s="76"/>
      <c r="L227" s="76"/>
      <c r="M227" s="76"/>
      <c r="N227" s="76"/>
      <c r="O227" s="77"/>
      <c r="AE227" s="28"/>
      <c r="AF227" s="28"/>
      <c r="AG227" s="28"/>
      <c r="AH227" s="28"/>
    </row>
    <row r="228" spans="2:34" s="7" customFormat="1" ht="10" customHeight="1" x14ac:dyDescent="0.35">
      <c r="B228"/>
      <c r="D228" s="75" t="s">
        <v>11</v>
      </c>
      <c r="E228" s="76"/>
      <c r="F228" s="82" t="s">
        <v>4</v>
      </c>
      <c r="G228" s="77"/>
      <c r="J228" s="75" t="s">
        <v>8</v>
      </c>
      <c r="K228" s="76"/>
      <c r="L228" s="76"/>
      <c r="M228" s="76"/>
      <c r="N228" s="76"/>
      <c r="O228" s="77"/>
      <c r="AE228" s="28"/>
      <c r="AF228" s="28"/>
      <c r="AG228" s="28"/>
      <c r="AH228" s="28"/>
    </row>
    <row r="229" spans="2:34" s="7" customFormat="1" ht="10" customHeight="1" x14ac:dyDescent="0.35">
      <c r="B229"/>
      <c r="D229" s="75" t="s">
        <v>9</v>
      </c>
      <c r="E229" s="76"/>
      <c r="F229" s="82" t="s">
        <v>1</v>
      </c>
      <c r="G229" s="77"/>
      <c r="J229" s="75" t="s">
        <v>11</v>
      </c>
      <c r="K229" s="76"/>
      <c r="L229" s="76"/>
      <c r="M229" s="76"/>
      <c r="N229" s="76"/>
      <c r="O229" s="77"/>
      <c r="AE229" s="28"/>
      <c r="AF229" s="28"/>
      <c r="AG229" s="28"/>
      <c r="AH229" s="28"/>
    </row>
    <row r="230" spans="2:34" s="7" customFormat="1" ht="10" customHeight="1" thickBot="1" x14ac:dyDescent="0.4">
      <c r="B230"/>
      <c r="D230" s="78" t="s">
        <v>158</v>
      </c>
      <c r="E230" s="79"/>
      <c r="F230" s="82" t="s">
        <v>147</v>
      </c>
      <c r="G230" s="77"/>
      <c r="J230" s="75" t="s">
        <v>9</v>
      </c>
      <c r="K230" s="76"/>
      <c r="L230" s="76"/>
      <c r="M230" s="76"/>
      <c r="N230" s="76"/>
      <c r="O230" s="77"/>
      <c r="AE230" s="28"/>
      <c r="AF230" s="28"/>
      <c r="AG230" s="28"/>
      <c r="AH230" s="28"/>
    </row>
    <row r="231" spans="2:34" s="7" customFormat="1" ht="10" customHeight="1" thickBot="1" x14ac:dyDescent="0.4">
      <c r="B231"/>
      <c r="F231" s="82" t="s">
        <v>10</v>
      </c>
      <c r="G231" s="77"/>
      <c r="J231" s="78" t="s">
        <v>158</v>
      </c>
      <c r="K231" s="79"/>
      <c r="L231" s="79"/>
      <c r="M231" s="79"/>
      <c r="N231" s="79"/>
      <c r="O231" s="80"/>
      <c r="AE231" s="28"/>
      <c r="AF231" s="28"/>
      <c r="AG231" s="28"/>
      <c r="AH231" s="28"/>
    </row>
    <row r="232" spans="2:34" s="7" customFormat="1" ht="10" customHeight="1" x14ac:dyDescent="0.35">
      <c r="B232"/>
      <c r="F232" s="82" t="s">
        <v>9</v>
      </c>
      <c r="G232" s="77"/>
      <c r="AE232" s="28"/>
      <c r="AF232" s="28"/>
      <c r="AG232" s="28"/>
      <c r="AH232" s="28"/>
    </row>
    <row r="233" spans="2:34" s="7" customFormat="1" ht="10" customHeight="1" thickBot="1" x14ac:dyDescent="0.4">
      <c r="B233"/>
      <c r="F233" s="83" t="s">
        <v>158</v>
      </c>
      <c r="G233" s="80"/>
      <c r="AE233" s="28"/>
      <c r="AF233" s="28"/>
      <c r="AG233" s="28"/>
      <c r="AH233" s="28"/>
    </row>
    <row r="234" spans="2:34" s="7" customFormat="1" ht="10" customHeight="1" x14ac:dyDescent="0.35">
      <c r="B234"/>
      <c r="AE234" s="28"/>
      <c r="AF234" s="28"/>
      <c r="AG234" s="28"/>
      <c r="AH234" s="28"/>
    </row>
    <row r="235" spans="2:34" s="7" customFormat="1" ht="10" customHeight="1" thickBot="1" x14ac:dyDescent="0.4">
      <c r="B235"/>
      <c r="D235" s="25">
        <v>0.375</v>
      </c>
      <c r="E235" s="25">
        <v>0.38541666666666669</v>
      </c>
      <c r="F235" s="25">
        <v>0.39583333333333298</v>
      </c>
      <c r="G235" s="25">
        <v>0.40625</v>
      </c>
      <c r="H235" s="25">
        <v>0.41666666666666702</v>
      </c>
      <c r="I235" s="25">
        <v>0.4236111111111111</v>
      </c>
      <c r="J235" s="25">
        <v>0.43055555555555558</v>
      </c>
      <c r="K235" s="25">
        <v>0.4375</v>
      </c>
      <c r="L235" s="25">
        <v>0.44444444444444442</v>
      </c>
      <c r="M235" s="25">
        <v>0.45833333333333331</v>
      </c>
      <c r="N235" s="25">
        <v>0.47222222222222227</v>
      </c>
      <c r="O235" s="25">
        <v>0.4861111111111111</v>
      </c>
      <c r="P235" s="25">
        <v>0.5</v>
      </c>
      <c r="Q235" s="25">
        <v>0.51041666666666663</v>
      </c>
      <c r="R235" s="25">
        <v>0.52083333333333337</v>
      </c>
      <c r="S235" s="25">
        <v>0.53125</v>
      </c>
      <c r="T235" s="25">
        <v>0.54166666666666663</v>
      </c>
      <c r="U235" s="25">
        <v>0.55555555555555558</v>
      </c>
      <c r="V235" s="25">
        <v>0.56944444444444442</v>
      </c>
      <c r="W235" s="25">
        <v>0.58333333333333337</v>
      </c>
      <c r="X235" s="25">
        <v>0.59722222222222221</v>
      </c>
      <c r="Y235" s="25">
        <v>0.61111111111111105</v>
      </c>
      <c r="Z235" s="25">
        <v>0.625</v>
      </c>
      <c r="AA235" s="25">
        <v>0.63888888888888895</v>
      </c>
      <c r="AE235" s="28"/>
      <c r="AF235" s="28"/>
      <c r="AG235" s="28"/>
      <c r="AH235" s="28"/>
    </row>
    <row r="236" spans="2:34" s="7" customFormat="1" ht="10" customHeight="1" thickBot="1" x14ac:dyDescent="0.4">
      <c r="B236"/>
      <c r="D236" s="45" t="s">
        <v>159</v>
      </c>
      <c r="E236" s="47"/>
      <c r="F236" s="45" t="s">
        <v>204</v>
      </c>
      <c r="G236" s="47"/>
      <c r="H236" s="45" t="s">
        <v>78</v>
      </c>
      <c r="I236" s="47"/>
      <c r="J236" s="43" t="s">
        <v>109</v>
      </c>
      <c r="K236" s="46"/>
      <c r="L236" s="44"/>
      <c r="M236" s="43" t="s">
        <v>110</v>
      </c>
      <c r="N236" s="46"/>
      <c r="O236" s="44"/>
      <c r="P236" s="45" t="s">
        <v>112</v>
      </c>
      <c r="Q236" s="47"/>
      <c r="R236" s="45" t="s">
        <v>113</v>
      </c>
      <c r="S236" s="46"/>
      <c r="T236" s="43" t="s">
        <v>111</v>
      </c>
      <c r="U236" s="44"/>
      <c r="V236" s="43" t="s">
        <v>114</v>
      </c>
      <c r="W236" s="44"/>
      <c r="X236" s="43" t="s">
        <v>205</v>
      </c>
      <c r="Y236" s="44"/>
      <c r="Z236" s="26" t="s">
        <v>206</v>
      </c>
      <c r="AA236" s="27"/>
      <c r="AE236" s="28"/>
      <c r="AF236" s="28"/>
      <c r="AG236" s="28"/>
      <c r="AH236" s="28"/>
    </row>
    <row r="237" spans="2:34" s="7" customFormat="1" ht="10" customHeight="1" x14ac:dyDescent="0.35">
      <c r="B237"/>
      <c r="C237" s="7" t="s">
        <v>72</v>
      </c>
      <c r="D237" s="72" t="s">
        <v>164</v>
      </c>
      <c r="E237" s="73"/>
      <c r="F237" s="81" t="s">
        <v>98</v>
      </c>
      <c r="G237" s="74"/>
      <c r="J237" s="72" t="s">
        <v>5</v>
      </c>
      <c r="K237" s="73"/>
      <c r="L237" s="74"/>
      <c r="M237" s="72" t="s">
        <v>5</v>
      </c>
      <c r="N237" s="73"/>
      <c r="O237" s="74"/>
      <c r="P237" s="72" t="s">
        <v>112</v>
      </c>
      <c r="Q237" s="74"/>
      <c r="T237" s="72" t="s">
        <v>5</v>
      </c>
      <c r="U237" s="73"/>
      <c r="V237" s="73"/>
      <c r="W237" s="73"/>
      <c r="X237" s="73"/>
      <c r="Y237" s="73"/>
      <c r="Z237" s="74"/>
      <c r="AB237" s="7">
        <v>5.5</v>
      </c>
      <c r="AE237" s="28"/>
      <c r="AF237" s="28"/>
      <c r="AG237" s="28"/>
      <c r="AH237" s="28"/>
    </row>
    <row r="238" spans="2:34" s="7" customFormat="1" ht="10" customHeight="1" x14ac:dyDescent="0.35">
      <c r="B238"/>
      <c r="D238" s="75" t="s">
        <v>142</v>
      </c>
      <c r="E238" s="76"/>
      <c r="F238" s="82" t="s">
        <v>143</v>
      </c>
      <c r="G238" s="77"/>
      <c r="J238" s="75" t="s">
        <v>142</v>
      </c>
      <c r="K238" s="76"/>
      <c r="L238" s="77"/>
      <c r="M238" s="75" t="s">
        <v>142</v>
      </c>
      <c r="N238" s="76"/>
      <c r="O238" s="77"/>
      <c r="P238" s="75" t="s">
        <v>187</v>
      </c>
      <c r="Q238" s="77"/>
      <c r="T238" s="75" t="s">
        <v>142</v>
      </c>
      <c r="U238" s="76"/>
      <c r="V238" s="76"/>
      <c r="W238" s="76"/>
      <c r="X238" s="76"/>
      <c r="Y238" s="76"/>
      <c r="Z238" s="77"/>
      <c r="AE238" s="28"/>
      <c r="AF238" s="28"/>
      <c r="AG238" s="28"/>
      <c r="AH238" s="28"/>
    </row>
    <row r="239" spans="2:34" s="7" customFormat="1" ht="10" customHeight="1" x14ac:dyDescent="0.35">
      <c r="B239"/>
      <c r="D239" s="75" t="s">
        <v>72</v>
      </c>
      <c r="E239" s="76"/>
      <c r="F239" s="82" t="s">
        <v>118</v>
      </c>
      <c r="G239" s="77"/>
      <c r="J239" s="75" t="s">
        <v>83</v>
      </c>
      <c r="K239" s="76"/>
      <c r="L239" s="77"/>
      <c r="M239" s="75" t="s">
        <v>83</v>
      </c>
      <c r="N239" s="76"/>
      <c r="O239" s="77"/>
      <c r="P239" s="75" t="s">
        <v>75</v>
      </c>
      <c r="Q239" s="77"/>
      <c r="T239" s="75" t="s">
        <v>83</v>
      </c>
      <c r="U239" s="76"/>
      <c r="V239" s="76"/>
      <c r="W239" s="76"/>
      <c r="X239" s="76"/>
      <c r="Y239" s="76"/>
      <c r="Z239" s="77"/>
      <c r="AE239" s="28"/>
      <c r="AF239" s="28"/>
      <c r="AG239" s="28"/>
      <c r="AH239" s="28"/>
    </row>
    <row r="240" spans="2:34" s="7" customFormat="1" ht="10" customHeight="1" x14ac:dyDescent="0.35">
      <c r="B240"/>
      <c r="D240" s="75" t="s">
        <v>161</v>
      </c>
      <c r="E240" s="76"/>
      <c r="F240" s="82" t="s">
        <v>72</v>
      </c>
      <c r="G240" s="77"/>
      <c r="J240" s="75" t="s">
        <v>218</v>
      </c>
      <c r="K240" s="76"/>
      <c r="L240" s="77"/>
      <c r="M240" s="75" t="s">
        <v>72</v>
      </c>
      <c r="N240" s="76"/>
      <c r="O240" s="77"/>
      <c r="P240" s="75" t="s">
        <v>79</v>
      </c>
      <c r="Q240" s="77"/>
      <c r="T240" s="75" t="s">
        <v>72</v>
      </c>
      <c r="U240" s="76"/>
      <c r="V240" s="76"/>
      <c r="W240" s="76"/>
      <c r="X240" s="76"/>
      <c r="Y240" s="76"/>
      <c r="Z240" s="77"/>
      <c r="AE240" s="28"/>
      <c r="AF240" s="28"/>
      <c r="AG240" s="28"/>
      <c r="AH240" s="28"/>
    </row>
    <row r="241" spans="2:34" s="7" customFormat="1" ht="10" customHeight="1" x14ac:dyDescent="0.35">
      <c r="B241"/>
      <c r="D241" s="75"/>
      <c r="E241" s="76"/>
      <c r="F241" s="82" t="s">
        <v>81</v>
      </c>
      <c r="G241" s="77"/>
      <c r="J241" s="75" t="s">
        <v>72</v>
      </c>
      <c r="K241" s="76"/>
      <c r="L241" s="77"/>
      <c r="M241" s="75" t="s">
        <v>161</v>
      </c>
      <c r="N241" s="76"/>
      <c r="O241" s="77"/>
      <c r="P241" s="75" t="s">
        <v>72</v>
      </c>
      <c r="Q241" s="77"/>
      <c r="T241" s="75" t="s">
        <v>161</v>
      </c>
      <c r="U241" s="76"/>
      <c r="V241" s="76"/>
      <c r="W241" s="76"/>
      <c r="X241" s="76"/>
      <c r="Y241" s="76"/>
      <c r="Z241" s="77"/>
      <c r="AE241" s="28"/>
      <c r="AF241" s="28"/>
      <c r="AG241" s="28"/>
      <c r="AH241" s="28"/>
    </row>
    <row r="242" spans="2:34" s="7" customFormat="1" ht="10" customHeight="1" x14ac:dyDescent="0.35">
      <c r="B242"/>
      <c r="D242" s="75" t="s">
        <v>148</v>
      </c>
      <c r="E242" s="76"/>
      <c r="F242" s="82" t="s">
        <v>190</v>
      </c>
      <c r="G242" s="77"/>
      <c r="J242" s="75" t="s">
        <v>161</v>
      </c>
      <c r="K242" s="76"/>
      <c r="L242" s="77"/>
      <c r="M242" s="75"/>
      <c r="N242" s="76"/>
      <c r="O242" s="77"/>
      <c r="P242" s="75" t="s">
        <v>69</v>
      </c>
      <c r="Q242" s="77"/>
      <c r="T242" s="75"/>
      <c r="U242" s="76"/>
      <c r="V242" s="76"/>
      <c r="W242" s="76"/>
      <c r="X242" s="76"/>
      <c r="Y242" s="76"/>
      <c r="Z242" s="77"/>
      <c r="AE242" s="28"/>
      <c r="AF242" s="28"/>
      <c r="AG242" s="28"/>
      <c r="AH242" s="28"/>
    </row>
    <row r="243" spans="2:34" s="7" customFormat="1" ht="10" customHeight="1" x14ac:dyDescent="0.35">
      <c r="B243"/>
      <c r="D243" s="75" t="s">
        <v>2</v>
      </c>
      <c r="E243" s="76"/>
      <c r="F243" s="82" t="s">
        <v>70</v>
      </c>
      <c r="G243" s="77"/>
      <c r="J243" s="75"/>
      <c r="K243" s="76"/>
      <c r="L243" s="77"/>
      <c r="M243" s="75" t="s">
        <v>148</v>
      </c>
      <c r="N243" s="76"/>
      <c r="O243" s="77"/>
      <c r="P243" s="75" t="s">
        <v>82</v>
      </c>
      <c r="Q243" s="77"/>
      <c r="T243" s="75" t="s">
        <v>148</v>
      </c>
      <c r="U243" s="76"/>
      <c r="V243" s="76"/>
      <c r="W243" s="76"/>
      <c r="X243" s="76"/>
      <c r="Y243" s="76"/>
      <c r="Z243" s="77"/>
      <c r="AE243" s="28"/>
      <c r="AF243" s="28"/>
      <c r="AG243" s="28"/>
      <c r="AH243" s="28"/>
    </row>
    <row r="244" spans="2:34" s="7" customFormat="1" ht="10" customHeight="1" x14ac:dyDescent="0.35">
      <c r="B244"/>
      <c r="D244" s="75" t="s">
        <v>146</v>
      </c>
      <c r="E244" s="76"/>
      <c r="F244" s="82"/>
      <c r="G244" s="77"/>
      <c r="J244" s="75" t="s">
        <v>148</v>
      </c>
      <c r="K244" s="76"/>
      <c r="L244" s="77"/>
      <c r="M244" s="75" t="s">
        <v>2</v>
      </c>
      <c r="N244" s="76"/>
      <c r="O244" s="77"/>
      <c r="P244" s="75"/>
      <c r="Q244" s="77"/>
      <c r="T244" s="75" t="s">
        <v>2</v>
      </c>
      <c r="U244" s="76"/>
      <c r="V244" s="76"/>
      <c r="W244" s="76"/>
      <c r="X244" s="76"/>
      <c r="Y244" s="76"/>
      <c r="Z244" s="77"/>
      <c r="AE244" s="28"/>
      <c r="AF244" s="28"/>
      <c r="AG244" s="28"/>
      <c r="AH244" s="28"/>
    </row>
    <row r="245" spans="2:34" s="7" customFormat="1" ht="10" customHeight="1" thickBot="1" x14ac:dyDescent="0.4">
      <c r="B245"/>
      <c r="D245" s="78" t="s">
        <v>150</v>
      </c>
      <c r="E245" s="79"/>
      <c r="F245" s="82" t="s">
        <v>2</v>
      </c>
      <c r="G245" s="77"/>
      <c r="J245" s="75" t="s">
        <v>2</v>
      </c>
      <c r="K245" s="76"/>
      <c r="L245" s="77"/>
      <c r="M245" s="75" t="s">
        <v>146</v>
      </c>
      <c r="N245" s="76"/>
      <c r="O245" s="77"/>
      <c r="P245" s="75" t="s">
        <v>148</v>
      </c>
      <c r="Q245" s="77"/>
      <c r="T245" s="75" t="s">
        <v>146</v>
      </c>
      <c r="U245" s="76"/>
      <c r="V245" s="76"/>
      <c r="W245" s="76"/>
      <c r="X245" s="76"/>
      <c r="Y245" s="76"/>
      <c r="Z245" s="77"/>
      <c r="AE245" s="28"/>
      <c r="AF245" s="28"/>
      <c r="AG245" s="28"/>
      <c r="AH245" s="28"/>
    </row>
    <row r="246" spans="2:34" s="7" customFormat="1" ht="10" customHeight="1" thickBot="1" x14ac:dyDescent="0.4">
      <c r="B246"/>
      <c r="F246" s="82" t="s">
        <v>4</v>
      </c>
      <c r="G246" s="77"/>
      <c r="J246" s="75" t="s">
        <v>146</v>
      </c>
      <c r="K246" s="76"/>
      <c r="L246" s="77"/>
      <c r="M246" s="78" t="s">
        <v>150</v>
      </c>
      <c r="N246" s="79"/>
      <c r="O246" s="80"/>
      <c r="P246" s="75" t="s">
        <v>2</v>
      </c>
      <c r="Q246" s="77"/>
      <c r="T246" s="78" t="s">
        <v>150</v>
      </c>
      <c r="U246" s="79"/>
      <c r="V246" s="79"/>
      <c r="W246" s="79"/>
      <c r="X246" s="79"/>
      <c r="Y246" s="79"/>
      <c r="Z246" s="80"/>
      <c r="AE246" s="28"/>
      <c r="AF246" s="28"/>
      <c r="AG246" s="28"/>
      <c r="AH246" s="28"/>
    </row>
    <row r="247" spans="2:34" s="7" customFormat="1" ht="10" customHeight="1" thickBot="1" x14ac:dyDescent="0.4">
      <c r="B247"/>
      <c r="F247" s="82" t="s">
        <v>1</v>
      </c>
      <c r="G247" s="77"/>
      <c r="J247" s="78" t="s">
        <v>150</v>
      </c>
      <c r="K247" s="79"/>
      <c r="L247" s="80"/>
      <c r="P247" s="75" t="s">
        <v>146</v>
      </c>
      <c r="Q247" s="77"/>
      <c r="AE247" s="28"/>
      <c r="AF247" s="28"/>
      <c r="AG247" s="28"/>
      <c r="AH247" s="28"/>
    </row>
    <row r="248" spans="2:34" s="7" customFormat="1" ht="10" customHeight="1" x14ac:dyDescent="0.35">
      <c r="B248"/>
      <c r="F248" s="82" t="s">
        <v>147</v>
      </c>
      <c r="G248" s="77"/>
      <c r="P248" s="75" t="s">
        <v>150</v>
      </c>
      <c r="Q248" s="77"/>
      <c r="AE248" s="28"/>
      <c r="AF248" s="28"/>
      <c r="AG248" s="28"/>
      <c r="AH248" s="28"/>
    </row>
    <row r="249" spans="2:34" s="7" customFormat="1" ht="10" customHeight="1" x14ac:dyDescent="0.35">
      <c r="B249"/>
      <c r="F249" s="82" t="s">
        <v>10</v>
      </c>
      <c r="G249" s="77"/>
      <c r="P249" s="75" t="s">
        <v>3</v>
      </c>
      <c r="Q249" s="77"/>
      <c r="AE249" s="28"/>
      <c r="AF249" s="28"/>
      <c r="AG249" s="28"/>
      <c r="AH249" s="28"/>
    </row>
    <row r="250" spans="2:34" s="7" customFormat="1" ht="10" customHeight="1" x14ac:dyDescent="0.35">
      <c r="B250"/>
      <c r="F250" s="82" t="s">
        <v>9</v>
      </c>
      <c r="G250" s="77"/>
      <c r="P250" s="75" t="s">
        <v>4</v>
      </c>
      <c r="Q250" s="77"/>
      <c r="AE250" s="28"/>
      <c r="AF250" s="28"/>
      <c r="AG250" s="28"/>
      <c r="AH250" s="28"/>
    </row>
    <row r="251" spans="2:34" s="7" customFormat="1" ht="10" customHeight="1" thickBot="1" x14ac:dyDescent="0.4">
      <c r="B251"/>
      <c r="F251" s="83" t="s">
        <v>158</v>
      </c>
      <c r="G251" s="80"/>
      <c r="P251" s="75" t="s">
        <v>1</v>
      </c>
      <c r="Q251" s="77"/>
      <c r="AE251" s="28"/>
      <c r="AF251" s="28"/>
      <c r="AG251" s="28"/>
      <c r="AH251" s="28"/>
    </row>
    <row r="252" spans="2:34" s="7" customFormat="1" ht="10" customHeight="1" x14ac:dyDescent="0.35">
      <c r="B252"/>
      <c r="P252" s="75" t="s">
        <v>147</v>
      </c>
      <c r="Q252" s="77"/>
      <c r="AE252" s="28"/>
      <c r="AF252" s="28"/>
      <c r="AG252" s="28"/>
      <c r="AH252" s="28"/>
    </row>
    <row r="253" spans="2:34" s="7" customFormat="1" ht="10" customHeight="1" x14ac:dyDescent="0.35">
      <c r="B253"/>
      <c r="P253" s="75" t="s">
        <v>10</v>
      </c>
      <c r="Q253" s="77"/>
      <c r="AE253" s="28"/>
      <c r="AF253" s="28"/>
      <c r="AG253" s="28"/>
      <c r="AH253" s="28"/>
    </row>
    <row r="254" spans="2:34" s="7" customFormat="1" ht="10" customHeight="1" x14ac:dyDescent="0.35">
      <c r="B254"/>
      <c r="P254" s="75" t="s">
        <v>157</v>
      </c>
      <c r="Q254" s="77"/>
      <c r="AE254" s="28"/>
      <c r="AF254" s="28"/>
      <c r="AG254" s="28"/>
      <c r="AH254" s="28"/>
    </row>
    <row r="255" spans="2:34" s="7" customFormat="1" ht="10" customHeight="1" x14ac:dyDescent="0.35">
      <c r="B255"/>
      <c r="P255" s="75" t="s">
        <v>6</v>
      </c>
      <c r="Q255" s="77"/>
      <c r="AE255" s="28"/>
      <c r="AF255" s="28"/>
      <c r="AG255" s="28"/>
      <c r="AH255" s="28"/>
    </row>
    <row r="256" spans="2:34" s="7" customFormat="1" ht="10" customHeight="1" x14ac:dyDescent="0.35">
      <c r="B256"/>
      <c r="P256" s="75" t="s">
        <v>8</v>
      </c>
      <c r="Q256" s="77"/>
      <c r="AE256" s="28"/>
      <c r="AF256" s="28"/>
      <c r="AG256" s="28"/>
      <c r="AH256" s="28"/>
    </row>
    <row r="257" spans="2:34" s="7" customFormat="1" ht="10" customHeight="1" x14ac:dyDescent="0.35">
      <c r="B257"/>
      <c r="P257" s="75" t="s">
        <v>11</v>
      </c>
      <c r="Q257" s="77"/>
      <c r="AE257" s="28"/>
      <c r="AF257" s="28"/>
      <c r="AG257" s="28"/>
      <c r="AH257" s="28"/>
    </row>
    <row r="258" spans="2:34" s="7" customFormat="1" ht="10" customHeight="1" x14ac:dyDescent="0.35">
      <c r="B258"/>
      <c r="P258" s="75" t="s">
        <v>9</v>
      </c>
      <c r="Q258" s="77"/>
      <c r="AE258" s="28"/>
      <c r="AF258" s="28"/>
      <c r="AG258" s="28"/>
      <c r="AH258" s="28"/>
    </row>
    <row r="259" spans="2:34" s="7" customFormat="1" ht="10" customHeight="1" thickBot="1" x14ac:dyDescent="0.4">
      <c r="B259"/>
      <c r="P259" s="78" t="s">
        <v>158</v>
      </c>
      <c r="Q259" s="80"/>
      <c r="AE259" s="28"/>
      <c r="AF259" s="28"/>
      <c r="AG259" s="28"/>
      <c r="AH259" s="28"/>
    </row>
    <row r="260" spans="2:34" s="7" customFormat="1" ht="10" customHeight="1" x14ac:dyDescent="0.35">
      <c r="B260"/>
      <c r="AE260" s="28"/>
      <c r="AF260" s="28"/>
      <c r="AG260" s="28"/>
      <c r="AH260" s="28"/>
    </row>
    <row r="261" spans="2:34" s="7" customFormat="1" ht="10" customHeight="1" thickBot="1" x14ac:dyDescent="0.4">
      <c r="B261"/>
      <c r="D261" s="25">
        <v>0.375</v>
      </c>
      <c r="E261" s="25">
        <v>0.38541666666666669</v>
      </c>
      <c r="F261" s="25">
        <v>0.39583333333333298</v>
      </c>
      <c r="G261" s="25">
        <v>0.40625</v>
      </c>
      <c r="H261" s="25">
        <v>0.41666666666666702</v>
      </c>
      <c r="I261" s="25">
        <v>0.4236111111111111</v>
      </c>
      <c r="J261" s="25">
        <v>0.43055555555555558</v>
      </c>
      <c r="K261" s="25">
        <v>0.4375</v>
      </c>
      <c r="L261" s="25">
        <v>0.44444444444444442</v>
      </c>
      <c r="M261" s="25">
        <v>0.45833333333333331</v>
      </c>
      <c r="N261" s="25">
        <v>0.47222222222222227</v>
      </c>
      <c r="O261" s="25">
        <v>0.4861111111111111</v>
      </c>
      <c r="P261" s="25">
        <v>0.5</v>
      </c>
      <c r="Q261" s="25">
        <v>0.51041666666666663</v>
      </c>
      <c r="R261" s="25">
        <v>0.52083333333333337</v>
      </c>
      <c r="S261" s="25">
        <v>0.53125</v>
      </c>
      <c r="T261" s="25">
        <v>0.54166666666666663</v>
      </c>
      <c r="U261" s="25">
        <v>0.55555555555555558</v>
      </c>
      <c r="V261" s="25">
        <v>0.56944444444444442</v>
      </c>
      <c r="W261" s="25">
        <v>0.58333333333333337</v>
      </c>
      <c r="X261" s="25">
        <v>0.59722222222222221</v>
      </c>
      <c r="Y261" s="25">
        <v>0.61111111111111105</v>
      </c>
      <c r="Z261" s="25">
        <v>0.625</v>
      </c>
      <c r="AA261" s="25">
        <v>0.63888888888888895</v>
      </c>
      <c r="AE261" s="28"/>
      <c r="AF261" s="28"/>
      <c r="AG261" s="28"/>
      <c r="AH261" s="28"/>
    </row>
    <row r="262" spans="2:34" s="7" customFormat="1" ht="10" customHeight="1" thickBot="1" x14ac:dyDescent="0.4">
      <c r="B262"/>
      <c r="D262" s="45" t="s">
        <v>159</v>
      </c>
      <c r="E262" s="47"/>
      <c r="F262" s="45" t="s">
        <v>204</v>
      </c>
      <c r="G262" s="47"/>
      <c r="H262" s="45" t="s">
        <v>78</v>
      </c>
      <c r="I262" s="47"/>
      <c r="J262" s="43" t="s">
        <v>109</v>
      </c>
      <c r="K262" s="46"/>
      <c r="L262" s="44"/>
      <c r="M262" s="43" t="s">
        <v>110</v>
      </c>
      <c r="N262" s="46"/>
      <c r="O262" s="44"/>
      <c r="P262" s="45" t="s">
        <v>112</v>
      </c>
      <c r="Q262" s="47"/>
      <c r="R262" s="45" t="s">
        <v>113</v>
      </c>
      <c r="S262" s="46"/>
      <c r="T262" s="43" t="s">
        <v>111</v>
      </c>
      <c r="U262" s="44"/>
      <c r="V262" s="43" t="s">
        <v>114</v>
      </c>
      <c r="W262" s="44"/>
      <c r="X262" s="43" t="s">
        <v>205</v>
      </c>
      <c r="Y262" s="44"/>
      <c r="Z262" s="26" t="s">
        <v>206</v>
      </c>
      <c r="AA262" s="27"/>
      <c r="AE262" s="28"/>
      <c r="AF262" s="28"/>
      <c r="AG262" s="28"/>
      <c r="AH262" s="28"/>
    </row>
    <row r="263" spans="2:34" s="7" customFormat="1" ht="10" customHeight="1" x14ac:dyDescent="0.35">
      <c r="B263"/>
      <c r="C263" s="7" t="s">
        <v>71</v>
      </c>
      <c r="D263" s="72" t="s">
        <v>160</v>
      </c>
      <c r="E263" s="73"/>
      <c r="F263" s="81" t="s">
        <v>97</v>
      </c>
      <c r="G263" s="74"/>
      <c r="J263" s="72" t="s">
        <v>0</v>
      </c>
      <c r="K263" s="73"/>
      <c r="L263" s="73"/>
      <c r="M263" s="73"/>
      <c r="N263" s="73"/>
      <c r="O263" s="74"/>
      <c r="R263" s="72" t="s">
        <v>224</v>
      </c>
      <c r="S263" s="74"/>
      <c r="T263" s="73"/>
      <c r="U263" s="73"/>
      <c r="V263" s="73"/>
      <c r="W263" s="73"/>
      <c r="X263" s="73"/>
      <c r="Y263" s="73"/>
      <c r="Z263" s="74"/>
      <c r="AB263" s="7">
        <v>8.8299999237060547</v>
      </c>
      <c r="AE263" s="28"/>
      <c r="AF263" s="28"/>
      <c r="AG263" s="28"/>
      <c r="AH263" s="28"/>
    </row>
    <row r="264" spans="2:34" s="7" customFormat="1" ht="10" customHeight="1" x14ac:dyDescent="0.35">
      <c r="B264"/>
      <c r="D264" s="75" t="s">
        <v>141</v>
      </c>
      <c r="E264" s="76"/>
      <c r="F264" s="82" t="s">
        <v>141</v>
      </c>
      <c r="G264" s="77"/>
      <c r="J264" s="75" t="s">
        <v>141</v>
      </c>
      <c r="K264" s="76"/>
      <c r="L264" s="76"/>
      <c r="M264" s="76"/>
      <c r="N264" s="76"/>
      <c r="O264" s="77"/>
      <c r="R264" s="75" t="s">
        <v>145</v>
      </c>
      <c r="S264" s="77"/>
      <c r="T264" s="76"/>
      <c r="U264" s="76"/>
      <c r="V264" s="76"/>
      <c r="W264" s="76"/>
      <c r="X264" s="76"/>
      <c r="Y264" s="76"/>
      <c r="Z264" s="77"/>
      <c r="AE264" s="28"/>
      <c r="AF264" s="28"/>
      <c r="AG264" s="28"/>
      <c r="AH264" s="28"/>
    </row>
    <row r="265" spans="2:34" s="7" customFormat="1" ht="10" customHeight="1" x14ac:dyDescent="0.35">
      <c r="B265"/>
      <c r="D265" s="75" t="s">
        <v>69</v>
      </c>
      <c r="E265" s="76"/>
      <c r="F265" s="82" t="s">
        <v>83</v>
      </c>
      <c r="G265" s="77"/>
      <c r="J265" s="75" t="s">
        <v>75</v>
      </c>
      <c r="K265" s="76"/>
      <c r="L265" s="76"/>
      <c r="M265" s="76"/>
      <c r="N265" s="76"/>
      <c r="O265" s="77"/>
      <c r="R265" s="75" t="s">
        <v>71</v>
      </c>
      <c r="S265" s="77"/>
      <c r="T265" s="76"/>
      <c r="U265" s="76"/>
      <c r="V265" s="76"/>
      <c r="W265" s="76"/>
      <c r="X265" s="76"/>
      <c r="Y265" s="76"/>
      <c r="Z265" s="77"/>
      <c r="AE265" s="28"/>
      <c r="AF265" s="28"/>
      <c r="AG265" s="28"/>
      <c r="AH265" s="28"/>
    </row>
    <row r="266" spans="2:34" s="7" customFormat="1" ht="10" customHeight="1" x14ac:dyDescent="0.35">
      <c r="B266"/>
      <c r="D266" s="75" t="s">
        <v>81</v>
      </c>
      <c r="E266" s="76"/>
      <c r="F266" s="82" t="s">
        <v>161</v>
      </c>
      <c r="G266" s="77"/>
      <c r="J266" s="75" t="s">
        <v>69</v>
      </c>
      <c r="K266" s="76"/>
      <c r="L266" s="76"/>
      <c r="M266" s="76"/>
      <c r="N266" s="76"/>
      <c r="O266" s="77"/>
      <c r="R266" s="75"/>
      <c r="S266" s="77"/>
      <c r="T266" s="76"/>
      <c r="U266" s="76"/>
      <c r="V266" s="76"/>
      <c r="W266" s="76"/>
      <c r="X266" s="76"/>
      <c r="Y266" s="76"/>
      <c r="Z266" s="77"/>
      <c r="AE266" s="28"/>
      <c r="AF266" s="28"/>
      <c r="AG266" s="28"/>
      <c r="AH266" s="28"/>
    </row>
    <row r="267" spans="2:34" s="7" customFormat="1" ht="10" customHeight="1" thickBot="1" x14ac:dyDescent="0.4">
      <c r="B267"/>
      <c r="D267" s="75" t="s">
        <v>71</v>
      </c>
      <c r="E267" s="76"/>
      <c r="F267" s="82" t="s">
        <v>69</v>
      </c>
      <c r="G267" s="77"/>
      <c r="J267" s="75" t="s">
        <v>81</v>
      </c>
      <c r="K267" s="76"/>
      <c r="L267" s="76"/>
      <c r="M267" s="76"/>
      <c r="N267" s="76"/>
      <c r="O267" s="77"/>
      <c r="R267" s="78" t="s">
        <v>157</v>
      </c>
      <c r="S267" s="80"/>
      <c r="T267" s="79"/>
      <c r="U267" s="79"/>
      <c r="V267" s="79"/>
      <c r="W267" s="79"/>
      <c r="X267" s="79"/>
      <c r="Y267" s="79"/>
      <c r="Z267" s="80"/>
      <c r="AE267" s="28"/>
      <c r="AF267" s="28"/>
      <c r="AG267" s="28"/>
      <c r="AH267" s="28"/>
    </row>
    <row r="268" spans="2:34" s="7" customFormat="1" ht="10" customHeight="1" x14ac:dyDescent="0.35">
      <c r="B268"/>
      <c r="D268" s="75"/>
      <c r="E268" s="76"/>
      <c r="F268" s="82" t="s">
        <v>99</v>
      </c>
      <c r="G268" s="77"/>
      <c r="J268" s="75" t="s">
        <v>71</v>
      </c>
      <c r="K268" s="76"/>
      <c r="L268" s="76"/>
      <c r="M268" s="76"/>
      <c r="N268" s="76"/>
      <c r="O268" s="77"/>
      <c r="R268" s="75" t="s">
        <v>161</v>
      </c>
      <c r="S268" s="77"/>
      <c r="AE268" s="28"/>
      <c r="AF268" s="28"/>
      <c r="AG268" s="28"/>
      <c r="AH268" s="28"/>
    </row>
    <row r="269" spans="2:34" s="7" customFormat="1" ht="10" customHeight="1" x14ac:dyDescent="0.35">
      <c r="B269"/>
      <c r="D269" s="75" t="s">
        <v>3</v>
      </c>
      <c r="E269" s="76"/>
      <c r="F269" s="82" t="s">
        <v>71</v>
      </c>
      <c r="G269" s="77"/>
      <c r="J269" s="75"/>
      <c r="K269" s="76"/>
      <c r="L269" s="76"/>
      <c r="M269" s="76"/>
      <c r="N269" s="76"/>
      <c r="O269" s="77"/>
      <c r="R269" s="75" t="s">
        <v>71</v>
      </c>
      <c r="S269" s="77"/>
      <c r="AE269" s="28"/>
      <c r="AF269" s="28"/>
      <c r="AG269" s="28"/>
      <c r="AH269" s="28"/>
    </row>
    <row r="270" spans="2:34" s="7" customFormat="1" ht="10" customHeight="1" x14ac:dyDescent="0.35">
      <c r="B270"/>
      <c r="D270" s="75" t="s">
        <v>4</v>
      </c>
      <c r="E270" s="76"/>
      <c r="F270" s="82"/>
      <c r="G270" s="77"/>
      <c r="J270" s="75" t="s">
        <v>3</v>
      </c>
      <c r="K270" s="76"/>
      <c r="L270" s="76"/>
      <c r="M270" s="76"/>
      <c r="N270" s="76"/>
      <c r="O270" s="77"/>
      <c r="R270" s="75"/>
      <c r="S270" s="77"/>
      <c r="AE270" s="28"/>
      <c r="AF270" s="28"/>
      <c r="AG270" s="28"/>
      <c r="AH270" s="28"/>
    </row>
    <row r="271" spans="2:34" s="7" customFormat="1" ht="10" customHeight="1" x14ac:dyDescent="0.35">
      <c r="B271"/>
      <c r="D271" s="75" t="s">
        <v>1</v>
      </c>
      <c r="E271" s="76"/>
      <c r="F271" s="82" t="s">
        <v>148</v>
      </c>
      <c r="G271" s="77"/>
      <c r="J271" s="75" t="s">
        <v>4</v>
      </c>
      <c r="K271" s="76"/>
      <c r="L271" s="76"/>
      <c r="M271" s="76"/>
      <c r="N271" s="76"/>
      <c r="O271" s="77"/>
      <c r="R271" s="75" t="s">
        <v>148</v>
      </c>
      <c r="S271" s="77"/>
      <c r="AE271" s="28"/>
      <c r="AF271" s="28"/>
      <c r="AG271" s="28"/>
      <c r="AH271" s="28"/>
    </row>
    <row r="272" spans="2:34" s="7" customFormat="1" ht="10" customHeight="1" thickBot="1" x14ac:dyDescent="0.4">
      <c r="B272"/>
      <c r="D272" s="78" t="s">
        <v>147</v>
      </c>
      <c r="E272" s="79"/>
      <c r="F272" s="82" t="s">
        <v>146</v>
      </c>
      <c r="G272" s="77"/>
      <c r="J272" s="75" t="s">
        <v>1</v>
      </c>
      <c r="K272" s="76"/>
      <c r="L272" s="76"/>
      <c r="M272" s="76"/>
      <c r="N272" s="76"/>
      <c r="O272" s="77"/>
      <c r="R272" s="75" t="s">
        <v>2</v>
      </c>
      <c r="S272" s="77"/>
      <c r="AE272" s="28"/>
      <c r="AF272" s="28"/>
      <c r="AG272" s="28"/>
      <c r="AH272" s="28"/>
    </row>
    <row r="273" spans="2:34" s="7" customFormat="1" ht="10" customHeight="1" thickBot="1" x14ac:dyDescent="0.4">
      <c r="B273"/>
      <c r="F273" s="82" t="s">
        <v>150</v>
      </c>
      <c r="G273" s="77"/>
      <c r="J273" s="78" t="s">
        <v>147</v>
      </c>
      <c r="K273" s="79"/>
      <c r="L273" s="79"/>
      <c r="M273" s="79"/>
      <c r="N273" s="79"/>
      <c r="O273" s="80"/>
      <c r="R273" s="75" t="s">
        <v>146</v>
      </c>
      <c r="S273" s="77"/>
      <c r="AE273" s="28"/>
      <c r="AF273" s="28"/>
      <c r="AG273" s="28"/>
      <c r="AH273" s="28"/>
    </row>
    <row r="274" spans="2:34" s="7" customFormat="1" ht="10" customHeight="1" x14ac:dyDescent="0.35">
      <c r="B274"/>
      <c r="F274" s="82" t="s">
        <v>3</v>
      </c>
      <c r="G274" s="77"/>
      <c r="R274" s="75" t="s">
        <v>150</v>
      </c>
      <c r="S274" s="77"/>
      <c r="AE274" s="28"/>
      <c r="AF274" s="28"/>
      <c r="AG274" s="28"/>
      <c r="AH274" s="28"/>
    </row>
    <row r="275" spans="2:34" s="7" customFormat="1" ht="10" customHeight="1" x14ac:dyDescent="0.35">
      <c r="B275"/>
      <c r="F275" s="82" t="s">
        <v>157</v>
      </c>
      <c r="G275" s="77"/>
      <c r="R275" s="75" t="s">
        <v>3</v>
      </c>
      <c r="S275" s="77"/>
      <c r="AE275" s="28"/>
      <c r="AF275" s="28"/>
      <c r="AG275" s="28"/>
      <c r="AH275" s="28"/>
    </row>
    <row r="276" spans="2:34" s="7" customFormat="1" ht="10" customHeight="1" x14ac:dyDescent="0.35">
      <c r="B276"/>
      <c r="F276" s="82" t="s">
        <v>8</v>
      </c>
      <c r="G276" s="77"/>
      <c r="R276" s="75" t="s">
        <v>4</v>
      </c>
      <c r="S276" s="77"/>
      <c r="AE276" s="28"/>
      <c r="AF276" s="28"/>
      <c r="AG276" s="28"/>
      <c r="AH276" s="28"/>
    </row>
    <row r="277" spans="2:34" s="7" customFormat="1" ht="10" customHeight="1" thickBot="1" x14ac:dyDescent="0.4">
      <c r="B277"/>
      <c r="F277" s="83" t="s">
        <v>11</v>
      </c>
      <c r="G277" s="80"/>
      <c r="R277" s="75" t="s">
        <v>1</v>
      </c>
      <c r="S277" s="77"/>
      <c r="AE277" s="28"/>
      <c r="AF277" s="28"/>
      <c r="AG277" s="28"/>
      <c r="AH277" s="28"/>
    </row>
    <row r="278" spans="2:34" s="7" customFormat="1" ht="10" customHeight="1" x14ac:dyDescent="0.35">
      <c r="B278"/>
      <c r="R278" s="75" t="s">
        <v>147</v>
      </c>
      <c r="S278" s="77"/>
      <c r="AE278" s="28"/>
      <c r="AF278" s="28"/>
      <c r="AG278" s="28"/>
      <c r="AH278" s="28"/>
    </row>
    <row r="279" spans="2:34" s="7" customFormat="1" ht="10" customHeight="1" x14ac:dyDescent="0.35">
      <c r="B279"/>
      <c r="R279" s="75" t="s">
        <v>10</v>
      </c>
      <c r="S279" s="77"/>
      <c r="AE279" s="28"/>
      <c r="AF279" s="28"/>
      <c r="AG279" s="28"/>
      <c r="AH279" s="28"/>
    </row>
    <row r="280" spans="2:34" s="7" customFormat="1" ht="10" customHeight="1" x14ac:dyDescent="0.35">
      <c r="B280"/>
      <c r="R280" s="75" t="s">
        <v>6</v>
      </c>
      <c r="S280" s="77"/>
      <c r="AE280" s="28"/>
      <c r="AF280" s="28"/>
      <c r="AG280" s="28"/>
      <c r="AH280" s="28"/>
    </row>
    <row r="281" spans="2:34" s="7" customFormat="1" ht="10" customHeight="1" x14ac:dyDescent="0.35">
      <c r="B281"/>
      <c r="R281" s="75" t="s">
        <v>8</v>
      </c>
      <c r="S281" s="77"/>
      <c r="AE281" s="28"/>
      <c r="AF281" s="28"/>
      <c r="AG281" s="28"/>
      <c r="AH281" s="28"/>
    </row>
    <row r="282" spans="2:34" s="7" customFormat="1" ht="10" customHeight="1" x14ac:dyDescent="0.35">
      <c r="B282"/>
      <c r="R282" s="75" t="s">
        <v>9</v>
      </c>
      <c r="S282" s="77"/>
      <c r="AE282" s="28"/>
      <c r="AF282" s="28"/>
      <c r="AG282" s="28"/>
      <c r="AH282" s="28"/>
    </row>
    <row r="283" spans="2:34" s="7" customFormat="1" ht="10" customHeight="1" thickBot="1" x14ac:dyDescent="0.4">
      <c r="B283"/>
      <c r="R283" s="78" t="s">
        <v>158</v>
      </c>
      <c r="S283" s="80"/>
      <c r="AE283" s="28"/>
      <c r="AF283" s="28"/>
      <c r="AG283" s="28"/>
      <c r="AH283" s="28"/>
    </row>
    <row r="284" spans="2:34" s="7" customFormat="1" ht="10" customHeight="1" x14ac:dyDescent="0.35">
      <c r="B284"/>
      <c r="AE284" s="28"/>
      <c r="AF284" s="28"/>
      <c r="AG284" s="28"/>
      <c r="AH284" s="28"/>
    </row>
    <row r="285" spans="2:34" s="7" customFormat="1" ht="10" customHeight="1" thickBot="1" x14ac:dyDescent="0.4">
      <c r="B285"/>
      <c r="D285" s="25">
        <v>0.375</v>
      </c>
      <c r="E285" s="25">
        <v>0.38541666666666669</v>
      </c>
      <c r="F285" s="25">
        <v>0.39583333333333298</v>
      </c>
      <c r="G285" s="25">
        <v>0.40625</v>
      </c>
      <c r="H285" s="25">
        <v>0.41666666666666702</v>
      </c>
      <c r="I285" s="25">
        <v>0.4236111111111111</v>
      </c>
      <c r="J285" s="25">
        <v>0.43055555555555558</v>
      </c>
      <c r="K285" s="25">
        <v>0.4375</v>
      </c>
      <c r="L285" s="25">
        <v>0.44444444444444442</v>
      </c>
      <c r="M285" s="25">
        <v>0.45833333333333331</v>
      </c>
      <c r="N285" s="25">
        <v>0.47222222222222227</v>
      </c>
      <c r="O285" s="25">
        <v>0.4861111111111111</v>
      </c>
      <c r="P285" s="25">
        <v>0.5</v>
      </c>
      <c r="Q285" s="25">
        <v>0.51041666666666663</v>
      </c>
      <c r="R285" s="25">
        <v>0.52083333333333337</v>
      </c>
      <c r="S285" s="25">
        <v>0.53125</v>
      </c>
      <c r="T285" s="25">
        <v>0.54166666666666663</v>
      </c>
      <c r="U285" s="25">
        <v>0.55555555555555558</v>
      </c>
      <c r="V285" s="25">
        <v>0.56944444444444442</v>
      </c>
      <c r="W285" s="25">
        <v>0.58333333333333337</v>
      </c>
      <c r="X285" s="25">
        <v>0.59722222222222221</v>
      </c>
      <c r="Y285" s="25">
        <v>0.61111111111111105</v>
      </c>
      <c r="Z285" s="25">
        <v>0.625</v>
      </c>
      <c r="AA285" s="25">
        <v>0.63888888888888895</v>
      </c>
      <c r="AE285" s="28"/>
      <c r="AF285" s="28"/>
      <c r="AG285" s="28"/>
      <c r="AH285" s="28"/>
    </row>
    <row r="286" spans="2:34" s="7" customFormat="1" ht="10" customHeight="1" thickBot="1" x14ac:dyDescent="0.4">
      <c r="B286"/>
      <c r="D286" s="45" t="s">
        <v>159</v>
      </c>
      <c r="E286" s="47"/>
      <c r="F286" s="45" t="s">
        <v>204</v>
      </c>
      <c r="G286" s="47"/>
      <c r="H286" s="45" t="s">
        <v>78</v>
      </c>
      <c r="I286" s="47"/>
      <c r="J286" s="43" t="s">
        <v>109</v>
      </c>
      <c r="K286" s="46"/>
      <c r="L286" s="44"/>
      <c r="M286" s="43" t="s">
        <v>110</v>
      </c>
      <c r="N286" s="46"/>
      <c r="O286" s="44"/>
      <c r="P286" s="45" t="s">
        <v>112</v>
      </c>
      <c r="Q286" s="47"/>
      <c r="R286" s="45" t="s">
        <v>113</v>
      </c>
      <c r="S286" s="46"/>
      <c r="T286" s="43" t="s">
        <v>111</v>
      </c>
      <c r="U286" s="44"/>
      <c r="V286" s="43" t="s">
        <v>114</v>
      </c>
      <c r="W286" s="44"/>
      <c r="X286" s="43" t="s">
        <v>205</v>
      </c>
      <c r="Y286" s="44"/>
      <c r="Z286" s="26" t="s">
        <v>206</v>
      </c>
      <c r="AA286" s="27"/>
      <c r="AE286" s="28"/>
      <c r="AF286" s="28"/>
      <c r="AG286" s="28"/>
      <c r="AH286" s="28"/>
    </row>
    <row r="287" spans="2:34" s="7" customFormat="1" ht="10" customHeight="1" x14ac:dyDescent="0.35">
      <c r="B287"/>
      <c r="C287" s="7" t="s">
        <v>70</v>
      </c>
      <c r="D287" s="72" t="s">
        <v>166</v>
      </c>
      <c r="E287" s="73"/>
      <c r="F287" s="81" t="s">
        <v>98</v>
      </c>
      <c r="G287" s="74"/>
      <c r="J287" s="72" t="s">
        <v>7</v>
      </c>
      <c r="K287" s="73"/>
      <c r="L287" s="73"/>
      <c r="M287" s="73"/>
      <c r="N287" s="73"/>
      <c r="O287" s="74"/>
      <c r="T287" s="72" t="s">
        <v>0</v>
      </c>
      <c r="U287" s="73"/>
      <c r="V287" s="73"/>
      <c r="W287" s="73"/>
      <c r="X287" s="73"/>
      <c r="Y287" s="73"/>
      <c r="Z287" s="74"/>
      <c r="AB287" s="7">
        <v>5</v>
      </c>
      <c r="AE287" s="28"/>
      <c r="AF287" s="28"/>
      <c r="AG287" s="28"/>
      <c r="AH287" s="28"/>
    </row>
    <row r="288" spans="2:34" s="7" customFormat="1" ht="10" customHeight="1" x14ac:dyDescent="0.35">
      <c r="B288"/>
      <c r="D288" s="75" t="s">
        <v>143</v>
      </c>
      <c r="E288" s="76"/>
      <c r="F288" s="82" t="s">
        <v>143</v>
      </c>
      <c r="G288" s="77"/>
      <c r="J288" s="75" t="s">
        <v>143</v>
      </c>
      <c r="K288" s="76"/>
      <c r="L288" s="76"/>
      <c r="M288" s="76"/>
      <c r="N288" s="76"/>
      <c r="O288" s="77"/>
      <c r="T288" s="75" t="s">
        <v>141</v>
      </c>
      <c r="U288" s="76"/>
      <c r="V288" s="76"/>
      <c r="W288" s="76"/>
      <c r="X288" s="76"/>
      <c r="Y288" s="76"/>
      <c r="Z288" s="77"/>
      <c r="AE288" s="28"/>
      <c r="AF288" s="28"/>
      <c r="AG288" s="28"/>
      <c r="AH288" s="28"/>
    </row>
    <row r="289" spans="2:34" s="7" customFormat="1" ht="10" customHeight="1" x14ac:dyDescent="0.35">
      <c r="B289"/>
      <c r="D289" s="75" t="s">
        <v>70</v>
      </c>
      <c r="E289" s="76"/>
      <c r="F289" s="82" t="s">
        <v>118</v>
      </c>
      <c r="G289" s="77"/>
      <c r="J289" s="75" t="s">
        <v>79</v>
      </c>
      <c r="K289" s="76"/>
      <c r="L289" s="76"/>
      <c r="M289" s="76"/>
      <c r="N289" s="76"/>
      <c r="O289" s="77"/>
      <c r="T289" s="75" t="s">
        <v>117</v>
      </c>
      <c r="U289" s="76"/>
      <c r="V289" s="76"/>
      <c r="W289" s="76"/>
      <c r="X289" s="76"/>
      <c r="Y289" s="76"/>
      <c r="Z289" s="77"/>
      <c r="AE289" s="28"/>
      <c r="AF289" s="28"/>
      <c r="AG289" s="28"/>
      <c r="AH289" s="28"/>
    </row>
    <row r="290" spans="2:34" s="7" customFormat="1" ht="10" customHeight="1" x14ac:dyDescent="0.35">
      <c r="B290"/>
      <c r="D290" s="75" t="s">
        <v>190</v>
      </c>
      <c r="E290" s="76"/>
      <c r="F290" s="82" t="s">
        <v>72</v>
      </c>
      <c r="G290" s="77"/>
      <c r="J290" s="75" t="s">
        <v>77</v>
      </c>
      <c r="K290" s="76"/>
      <c r="L290" s="76"/>
      <c r="M290" s="76"/>
      <c r="N290" s="76"/>
      <c r="O290" s="77"/>
      <c r="T290" s="75" t="s">
        <v>118</v>
      </c>
      <c r="U290" s="76"/>
      <c r="V290" s="76"/>
      <c r="W290" s="76"/>
      <c r="X290" s="76"/>
      <c r="Y290" s="76"/>
      <c r="Z290" s="77"/>
      <c r="AE290" s="28"/>
      <c r="AF290" s="28"/>
      <c r="AG290" s="28"/>
      <c r="AH290" s="28"/>
    </row>
    <row r="291" spans="2:34" s="7" customFormat="1" ht="10" customHeight="1" x14ac:dyDescent="0.35">
      <c r="B291"/>
      <c r="D291" s="75"/>
      <c r="E291" s="76"/>
      <c r="F291" s="82" t="s">
        <v>81</v>
      </c>
      <c r="G291" s="77"/>
      <c r="J291" s="75" t="s">
        <v>70</v>
      </c>
      <c r="K291" s="76"/>
      <c r="L291" s="76"/>
      <c r="M291" s="76"/>
      <c r="N291" s="76"/>
      <c r="O291" s="77"/>
      <c r="T291" s="75" t="s">
        <v>69</v>
      </c>
      <c r="U291" s="76"/>
      <c r="V291" s="76"/>
      <c r="W291" s="76"/>
      <c r="X291" s="76"/>
      <c r="Y291" s="76"/>
      <c r="Z291" s="77"/>
      <c r="AE291" s="28"/>
      <c r="AF291" s="28"/>
      <c r="AG291" s="28"/>
      <c r="AH291" s="28"/>
    </row>
    <row r="292" spans="2:34" s="7" customFormat="1" ht="10" customHeight="1" x14ac:dyDescent="0.35">
      <c r="B292"/>
      <c r="D292" s="75" t="s">
        <v>10</v>
      </c>
      <c r="E292" s="76"/>
      <c r="F292" s="82" t="s">
        <v>190</v>
      </c>
      <c r="G292" s="77"/>
      <c r="J292" s="75" t="s">
        <v>190</v>
      </c>
      <c r="K292" s="76"/>
      <c r="L292" s="76"/>
      <c r="M292" s="76"/>
      <c r="N292" s="76"/>
      <c r="O292" s="77"/>
      <c r="T292" s="75" t="s">
        <v>70</v>
      </c>
      <c r="U292" s="76"/>
      <c r="V292" s="76"/>
      <c r="W292" s="76"/>
      <c r="X292" s="76"/>
      <c r="Y292" s="76"/>
      <c r="Z292" s="77"/>
      <c r="AE292" s="28"/>
      <c r="AF292" s="28"/>
      <c r="AG292" s="28"/>
      <c r="AH292" s="28"/>
    </row>
    <row r="293" spans="2:34" s="7" customFormat="1" ht="10" customHeight="1" x14ac:dyDescent="0.35">
      <c r="B293"/>
      <c r="D293" s="75" t="s">
        <v>157</v>
      </c>
      <c r="E293" s="76"/>
      <c r="F293" s="82" t="s">
        <v>70</v>
      </c>
      <c r="G293" s="77"/>
      <c r="J293" s="75"/>
      <c r="K293" s="76"/>
      <c r="L293" s="76"/>
      <c r="M293" s="76"/>
      <c r="N293" s="76"/>
      <c r="O293" s="77"/>
      <c r="T293" s="75"/>
      <c r="U293" s="76"/>
      <c r="V293" s="76"/>
      <c r="W293" s="76"/>
      <c r="X293" s="76"/>
      <c r="Y293" s="76"/>
      <c r="Z293" s="77"/>
      <c r="AE293" s="28"/>
      <c r="AF293" s="28"/>
      <c r="AG293" s="28"/>
      <c r="AH293" s="28"/>
    </row>
    <row r="294" spans="2:34" s="7" customFormat="1" ht="10" customHeight="1" x14ac:dyDescent="0.35">
      <c r="B294"/>
      <c r="D294" s="75" t="s">
        <v>6</v>
      </c>
      <c r="E294" s="76"/>
      <c r="F294" s="82"/>
      <c r="G294" s="77"/>
      <c r="J294" s="75" t="s">
        <v>10</v>
      </c>
      <c r="K294" s="76"/>
      <c r="L294" s="76"/>
      <c r="M294" s="76"/>
      <c r="N294" s="76"/>
      <c r="O294" s="77"/>
      <c r="T294" s="75" t="s">
        <v>3</v>
      </c>
      <c r="U294" s="76"/>
      <c r="V294" s="76"/>
      <c r="W294" s="76"/>
      <c r="X294" s="76"/>
      <c r="Y294" s="76"/>
      <c r="Z294" s="77"/>
      <c r="AE294" s="28"/>
      <c r="AF294" s="28"/>
      <c r="AG294" s="28"/>
      <c r="AH294" s="28"/>
    </row>
    <row r="295" spans="2:34" s="7" customFormat="1" ht="10" customHeight="1" x14ac:dyDescent="0.35">
      <c r="B295"/>
      <c r="D295" s="75" t="s">
        <v>8</v>
      </c>
      <c r="E295" s="76"/>
      <c r="F295" s="82" t="s">
        <v>2</v>
      </c>
      <c r="G295" s="77"/>
      <c r="J295" s="75" t="s">
        <v>157</v>
      </c>
      <c r="K295" s="76"/>
      <c r="L295" s="76"/>
      <c r="M295" s="76"/>
      <c r="N295" s="76"/>
      <c r="O295" s="77"/>
      <c r="T295" s="75" t="s">
        <v>4</v>
      </c>
      <c r="U295" s="76"/>
      <c r="V295" s="76"/>
      <c r="W295" s="76"/>
      <c r="X295" s="76"/>
      <c r="Y295" s="76"/>
      <c r="Z295" s="77"/>
      <c r="AE295" s="28"/>
      <c r="AF295" s="28"/>
      <c r="AG295" s="28"/>
      <c r="AH295" s="28"/>
    </row>
    <row r="296" spans="2:34" s="7" customFormat="1" ht="10" customHeight="1" x14ac:dyDescent="0.35">
      <c r="B296"/>
      <c r="D296" s="75" t="s">
        <v>11</v>
      </c>
      <c r="E296" s="76"/>
      <c r="F296" s="82" t="s">
        <v>4</v>
      </c>
      <c r="G296" s="77"/>
      <c r="J296" s="75" t="s">
        <v>8</v>
      </c>
      <c r="K296" s="76"/>
      <c r="L296" s="76"/>
      <c r="M296" s="76"/>
      <c r="N296" s="76"/>
      <c r="O296" s="77"/>
      <c r="T296" s="75" t="s">
        <v>1</v>
      </c>
      <c r="U296" s="76"/>
      <c r="V296" s="76"/>
      <c r="W296" s="76"/>
      <c r="X296" s="76"/>
      <c r="Y296" s="76"/>
      <c r="Z296" s="77"/>
      <c r="AE296" s="28"/>
      <c r="AF296" s="28"/>
      <c r="AG296" s="28"/>
      <c r="AH296" s="28"/>
    </row>
    <row r="297" spans="2:34" s="7" customFormat="1" ht="10" customHeight="1" thickBot="1" x14ac:dyDescent="0.4">
      <c r="B297"/>
      <c r="D297" s="75" t="s">
        <v>9</v>
      </c>
      <c r="E297" s="76"/>
      <c r="F297" s="82" t="s">
        <v>1</v>
      </c>
      <c r="G297" s="77"/>
      <c r="J297" s="75" t="s">
        <v>11</v>
      </c>
      <c r="K297" s="76"/>
      <c r="L297" s="76"/>
      <c r="M297" s="76"/>
      <c r="N297" s="76"/>
      <c r="O297" s="77"/>
      <c r="T297" s="78" t="s">
        <v>147</v>
      </c>
      <c r="U297" s="79"/>
      <c r="V297" s="79"/>
      <c r="W297" s="79"/>
      <c r="X297" s="79"/>
      <c r="Y297" s="79"/>
      <c r="Z297" s="80"/>
      <c r="AE297" s="28"/>
      <c r="AF297" s="28"/>
      <c r="AG297" s="28"/>
      <c r="AH297" s="28"/>
    </row>
    <row r="298" spans="2:34" s="7" customFormat="1" ht="10" customHeight="1" thickBot="1" x14ac:dyDescent="0.4">
      <c r="B298"/>
      <c r="D298" s="78" t="s">
        <v>158</v>
      </c>
      <c r="E298" s="79"/>
      <c r="F298" s="82" t="s">
        <v>147</v>
      </c>
      <c r="G298" s="77"/>
      <c r="J298" s="75" t="s">
        <v>9</v>
      </c>
      <c r="K298" s="76"/>
      <c r="L298" s="76"/>
      <c r="M298" s="76"/>
      <c r="N298" s="76"/>
      <c r="O298" s="77"/>
      <c r="AE298" s="28"/>
      <c r="AF298" s="28"/>
      <c r="AG298" s="28"/>
      <c r="AH298" s="28"/>
    </row>
    <row r="299" spans="2:34" s="7" customFormat="1" ht="10" customHeight="1" thickBot="1" x14ac:dyDescent="0.4">
      <c r="B299"/>
      <c r="F299" s="82" t="s">
        <v>10</v>
      </c>
      <c r="G299" s="77"/>
      <c r="J299" s="78" t="s">
        <v>158</v>
      </c>
      <c r="K299" s="79"/>
      <c r="L299" s="79"/>
      <c r="M299" s="79"/>
      <c r="N299" s="79"/>
      <c r="O299" s="80"/>
      <c r="AE299" s="28"/>
      <c r="AF299" s="28"/>
      <c r="AG299" s="28"/>
      <c r="AH299" s="28"/>
    </row>
    <row r="300" spans="2:34" s="7" customFormat="1" ht="10" customHeight="1" x14ac:dyDescent="0.35">
      <c r="B300"/>
      <c r="F300" s="82" t="s">
        <v>9</v>
      </c>
      <c r="G300" s="77"/>
      <c r="AE300" s="28"/>
      <c r="AF300" s="28"/>
      <c r="AG300" s="28"/>
      <c r="AH300" s="28"/>
    </row>
    <row r="301" spans="2:34" s="7" customFormat="1" ht="10" customHeight="1" thickBot="1" x14ac:dyDescent="0.4">
      <c r="B301"/>
      <c r="F301" s="83" t="s">
        <v>158</v>
      </c>
      <c r="G301" s="80"/>
      <c r="AE301" s="28"/>
      <c r="AF301" s="28"/>
      <c r="AG301" s="28"/>
      <c r="AH301" s="28"/>
    </row>
    <row r="302" spans="2:34" s="7" customFormat="1" ht="10" customHeight="1" x14ac:dyDescent="0.35">
      <c r="B302"/>
      <c r="AE302" s="28"/>
      <c r="AF302" s="28"/>
      <c r="AG302" s="28"/>
      <c r="AH302" s="28"/>
    </row>
    <row r="303" spans="2:34" s="7" customFormat="1" ht="10" customHeight="1" thickBot="1" x14ac:dyDescent="0.4">
      <c r="B303"/>
      <c r="D303" s="25">
        <v>0.375</v>
      </c>
      <c r="E303" s="25">
        <v>0.38541666666666669</v>
      </c>
      <c r="F303" s="25">
        <v>0.39583333333333298</v>
      </c>
      <c r="G303" s="25">
        <v>0.40625</v>
      </c>
      <c r="H303" s="25">
        <v>0.41666666666666702</v>
      </c>
      <c r="I303" s="25">
        <v>0.4236111111111111</v>
      </c>
      <c r="J303" s="25">
        <v>0.43055555555555558</v>
      </c>
      <c r="K303" s="25">
        <v>0.4375</v>
      </c>
      <c r="L303" s="25">
        <v>0.44444444444444442</v>
      </c>
      <c r="M303" s="25">
        <v>0.45833333333333331</v>
      </c>
      <c r="N303" s="25">
        <v>0.47222222222222227</v>
      </c>
      <c r="O303" s="25">
        <v>0.4861111111111111</v>
      </c>
      <c r="P303" s="25">
        <v>0.5</v>
      </c>
      <c r="Q303" s="25">
        <v>0.51041666666666663</v>
      </c>
      <c r="R303" s="25">
        <v>0.52083333333333337</v>
      </c>
      <c r="S303" s="25">
        <v>0.53125</v>
      </c>
      <c r="T303" s="25">
        <v>0.54166666666666663</v>
      </c>
      <c r="U303" s="25">
        <v>0.55555555555555558</v>
      </c>
      <c r="V303" s="25">
        <v>0.56944444444444442</v>
      </c>
      <c r="W303" s="25">
        <v>0.58333333333333337</v>
      </c>
      <c r="X303" s="25">
        <v>0.59722222222222221</v>
      </c>
      <c r="Y303" s="25">
        <v>0.61111111111111105</v>
      </c>
      <c r="Z303" s="25">
        <v>0.625</v>
      </c>
      <c r="AA303" s="25">
        <v>0.63888888888888895</v>
      </c>
      <c r="AE303" s="28"/>
      <c r="AF303" s="28"/>
      <c r="AG303" s="28"/>
      <c r="AH303" s="28"/>
    </row>
    <row r="304" spans="2:34" s="7" customFormat="1" ht="10" customHeight="1" thickBot="1" x14ac:dyDescent="0.4">
      <c r="B304"/>
      <c r="D304" s="45" t="s">
        <v>159</v>
      </c>
      <c r="E304" s="47"/>
      <c r="F304" s="45" t="s">
        <v>204</v>
      </c>
      <c r="G304" s="47"/>
      <c r="H304" s="45" t="s">
        <v>78</v>
      </c>
      <c r="I304" s="47"/>
      <c r="J304" s="43" t="s">
        <v>109</v>
      </c>
      <c r="K304" s="46"/>
      <c r="L304" s="44"/>
      <c r="M304" s="43" t="s">
        <v>110</v>
      </c>
      <c r="N304" s="46"/>
      <c r="O304" s="44"/>
      <c r="P304" s="45" t="s">
        <v>112</v>
      </c>
      <c r="Q304" s="47"/>
      <c r="R304" s="45" t="s">
        <v>113</v>
      </c>
      <c r="S304" s="46"/>
      <c r="T304" s="43" t="s">
        <v>111</v>
      </c>
      <c r="U304" s="44"/>
      <c r="V304" s="43" t="s">
        <v>114</v>
      </c>
      <c r="W304" s="44"/>
      <c r="X304" s="43" t="s">
        <v>205</v>
      </c>
      <c r="Y304" s="44"/>
      <c r="Z304" s="26" t="s">
        <v>206</v>
      </c>
      <c r="AA304" s="27"/>
      <c r="AE304" s="28"/>
      <c r="AF304" s="28"/>
      <c r="AG304" s="28"/>
      <c r="AH304" s="28"/>
    </row>
    <row r="305" spans="2:34" s="7" customFormat="1" ht="10" customHeight="1" x14ac:dyDescent="0.35">
      <c r="B305"/>
      <c r="C305" s="7" t="s">
        <v>82</v>
      </c>
      <c r="F305" s="72" t="s">
        <v>13</v>
      </c>
      <c r="G305" s="73"/>
      <c r="H305" s="73"/>
      <c r="I305" s="73"/>
      <c r="J305" s="73"/>
      <c r="K305" s="73"/>
      <c r="L305" s="73"/>
      <c r="M305" s="73"/>
      <c r="N305" s="73"/>
      <c r="O305" s="74"/>
      <c r="P305" s="72" t="s">
        <v>112</v>
      </c>
      <c r="Q305" s="74"/>
      <c r="T305" s="72" t="s">
        <v>229</v>
      </c>
      <c r="U305" s="73"/>
      <c r="V305" s="73"/>
      <c r="W305" s="73"/>
      <c r="X305" s="73"/>
      <c r="Y305" s="73"/>
      <c r="Z305" s="74"/>
      <c r="AB305" s="7">
        <v>5.3299999237060547</v>
      </c>
      <c r="AE305" s="28"/>
      <c r="AF305" s="28"/>
      <c r="AG305" s="28"/>
      <c r="AH305" s="28"/>
    </row>
    <row r="306" spans="2:34" s="7" customFormat="1" ht="10" customHeight="1" x14ac:dyDescent="0.35">
      <c r="B306"/>
      <c r="F306" s="75" t="s">
        <v>144</v>
      </c>
      <c r="G306" s="76"/>
      <c r="H306" s="76"/>
      <c r="I306" s="76"/>
      <c r="J306" s="76"/>
      <c r="K306" s="76"/>
      <c r="L306" s="76"/>
      <c r="M306" s="76"/>
      <c r="N306" s="76"/>
      <c r="O306" s="77"/>
      <c r="P306" s="75" t="s">
        <v>187</v>
      </c>
      <c r="Q306" s="77"/>
      <c r="T306" s="75" t="s">
        <v>145</v>
      </c>
      <c r="U306" s="76"/>
      <c r="V306" s="76"/>
      <c r="W306" s="76"/>
      <c r="X306" s="76"/>
      <c r="Y306" s="76"/>
      <c r="Z306" s="77"/>
      <c r="AE306" s="28"/>
      <c r="AF306" s="28"/>
      <c r="AG306" s="28"/>
      <c r="AH306" s="28"/>
    </row>
    <row r="307" spans="2:34" s="7" customFormat="1" ht="10" customHeight="1" x14ac:dyDescent="0.35">
      <c r="B307"/>
      <c r="F307" s="75" t="s">
        <v>100</v>
      </c>
      <c r="G307" s="76"/>
      <c r="H307" s="76"/>
      <c r="I307" s="76"/>
      <c r="J307" s="76"/>
      <c r="K307" s="76"/>
      <c r="L307" s="76"/>
      <c r="M307" s="76"/>
      <c r="N307" s="76"/>
      <c r="O307" s="77"/>
      <c r="P307" s="75" t="s">
        <v>75</v>
      </c>
      <c r="Q307" s="77"/>
      <c r="T307" s="75" t="s">
        <v>82</v>
      </c>
      <c r="U307" s="76"/>
      <c r="V307" s="76"/>
      <c r="W307" s="76"/>
      <c r="X307" s="76"/>
      <c r="Y307" s="76"/>
      <c r="Z307" s="77"/>
      <c r="AE307" s="28"/>
      <c r="AF307" s="28"/>
      <c r="AG307" s="28"/>
      <c r="AH307" s="28"/>
    </row>
    <row r="308" spans="2:34" s="7" customFormat="1" ht="10" customHeight="1" x14ac:dyDescent="0.35">
      <c r="B308"/>
      <c r="F308" s="75" t="s">
        <v>82</v>
      </c>
      <c r="G308" s="76"/>
      <c r="H308" s="76"/>
      <c r="I308" s="76"/>
      <c r="J308" s="76"/>
      <c r="K308" s="76"/>
      <c r="L308" s="76"/>
      <c r="M308" s="76"/>
      <c r="N308" s="76"/>
      <c r="O308" s="77"/>
      <c r="P308" s="75" t="s">
        <v>79</v>
      </c>
      <c r="Q308" s="77"/>
      <c r="T308" s="75"/>
      <c r="U308" s="76"/>
      <c r="V308" s="76"/>
      <c r="W308" s="76"/>
      <c r="X308" s="76"/>
      <c r="Y308" s="76"/>
      <c r="Z308" s="77"/>
      <c r="AE308" s="28"/>
      <c r="AF308" s="28"/>
      <c r="AG308" s="28"/>
      <c r="AH308" s="28"/>
    </row>
    <row r="309" spans="2:34" s="7" customFormat="1" ht="10" customHeight="1" thickBot="1" x14ac:dyDescent="0.4">
      <c r="B309"/>
      <c r="F309" s="75"/>
      <c r="G309" s="76"/>
      <c r="H309" s="76"/>
      <c r="I309" s="76"/>
      <c r="J309" s="76"/>
      <c r="K309" s="76"/>
      <c r="L309" s="76"/>
      <c r="M309" s="76"/>
      <c r="N309" s="76"/>
      <c r="O309" s="77"/>
      <c r="P309" s="75" t="s">
        <v>72</v>
      </c>
      <c r="Q309" s="77"/>
      <c r="T309" s="78" t="s">
        <v>8</v>
      </c>
      <c r="U309" s="79"/>
      <c r="V309" s="79"/>
      <c r="W309" s="79"/>
      <c r="X309" s="79"/>
      <c r="Y309" s="79"/>
      <c r="Z309" s="80"/>
      <c r="AE309" s="28"/>
      <c r="AF309" s="28"/>
      <c r="AG309" s="28"/>
      <c r="AH309" s="28"/>
    </row>
    <row r="310" spans="2:34" s="7" customFormat="1" ht="10" customHeight="1" thickBot="1" x14ac:dyDescent="0.4">
      <c r="B310"/>
      <c r="F310" s="78" t="s">
        <v>13</v>
      </c>
      <c r="G310" s="79"/>
      <c r="H310" s="79"/>
      <c r="I310" s="79"/>
      <c r="J310" s="79"/>
      <c r="K310" s="79"/>
      <c r="L310" s="79"/>
      <c r="M310" s="79"/>
      <c r="N310" s="79"/>
      <c r="O310" s="80"/>
      <c r="P310" s="75" t="s">
        <v>69</v>
      </c>
      <c r="Q310" s="77"/>
      <c r="AE310" s="28"/>
      <c r="AF310" s="28"/>
      <c r="AG310" s="28"/>
      <c r="AH310" s="28"/>
    </row>
    <row r="311" spans="2:34" s="7" customFormat="1" ht="10" customHeight="1" x14ac:dyDescent="0.35">
      <c r="B311"/>
      <c r="P311" s="75" t="s">
        <v>82</v>
      </c>
      <c r="Q311" s="77"/>
      <c r="AE311" s="28"/>
      <c r="AF311" s="28"/>
      <c r="AG311" s="28"/>
      <c r="AH311" s="28"/>
    </row>
    <row r="312" spans="2:34" s="7" customFormat="1" ht="10" customHeight="1" x14ac:dyDescent="0.35">
      <c r="B312"/>
      <c r="P312" s="75"/>
      <c r="Q312" s="77"/>
      <c r="AE312" s="28"/>
      <c r="AF312" s="28"/>
      <c r="AG312" s="28"/>
      <c r="AH312" s="28"/>
    </row>
    <row r="313" spans="2:34" s="7" customFormat="1" ht="10" customHeight="1" x14ac:dyDescent="0.35">
      <c r="B313"/>
      <c r="P313" s="75" t="s">
        <v>148</v>
      </c>
      <c r="Q313" s="77"/>
      <c r="AE313" s="28"/>
      <c r="AF313" s="28"/>
      <c r="AG313" s="28"/>
      <c r="AH313" s="28"/>
    </row>
    <row r="314" spans="2:34" s="7" customFormat="1" ht="10" customHeight="1" x14ac:dyDescent="0.35">
      <c r="B314"/>
      <c r="P314" s="75" t="s">
        <v>2</v>
      </c>
      <c r="Q314" s="77"/>
      <c r="AE314" s="28"/>
      <c r="AF314" s="28"/>
      <c r="AG314" s="28"/>
      <c r="AH314" s="28"/>
    </row>
    <row r="315" spans="2:34" s="7" customFormat="1" ht="10" customHeight="1" x14ac:dyDescent="0.35">
      <c r="B315"/>
      <c r="P315" s="75" t="s">
        <v>146</v>
      </c>
      <c r="Q315" s="77"/>
      <c r="AE315" s="28"/>
      <c r="AF315" s="28"/>
      <c r="AG315" s="28"/>
      <c r="AH315" s="28"/>
    </row>
    <row r="316" spans="2:34" s="7" customFormat="1" ht="10" customHeight="1" x14ac:dyDescent="0.35">
      <c r="B316"/>
      <c r="P316" s="75" t="s">
        <v>150</v>
      </c>
      <c r="Q316" s="77"/>
      <c r="AE316" s="28"/>
      <c r="AF316" s="28"/>
      <c r="AG316" s="28"/>
      <c r="AH316" s="28"/>
    </row>
    <row r="317" spans="2:34" s="7" customFormat="1" ht="10" customHeight="1" x14ac:dyDescent="0.35">
      <c r="B317"/>
      <c r="P317" s="75" t="s">
        <v>3</v>
      </c>
      <c r="Q317" s="77"/>
      <c r="AE317" s="28"/>
      <c r="AF317" s="28"/>
      <c r="AG317" s="28"/>
      <c r="AH317" s="28"/>
    </row>
    <row r="318" spans="2:34" s="7" customFormat="1" ht="10" customHeight="1" x14ac:dyDescent="0.35">
      <c r="B318"/>
      <c r="P318" s="75" t="s">
        <v>4</v>
      </c>
      <c r="Q318" s="77"/>
      <c r="AE318" s="28"/>
      <c r="AF318" s="28"/>
      <c r="AG318" s="28"/>
      <c r="AH318" s="28"/>
    </row>
    <row r="319" spans="2:34" s="7" customFormat="1" ht="10" customHeight="1" x14ac:dyDescent="0.35">
      <c r="B319"/>
      <c r="P319" s="75" t="s">
        <v>1</v>
      </c>
      <c r="Q319" s="77"/>
      <c r="AE319" s="28"/>
      <c r="AF319" s="28"/>
      <c r="AG319" s="28"/>
      <c r="AH319" s="28"/>
    </row>
    <row r="320" spans="2:34" s="7" customFormat="1" ht="10" customHeight="1" x14ac:dyDescent="0.35">
      <c r="B320"/>
      <c r="P320" s="75" t="s">
        <v>147</v>
      </c>
      <c r="Q320" s="77"/>
      <c r="AE320" s="28"/>
      <c r="AF320" s="28"/>
      <c r="AG320" s="28"/>
      <c r="AH320" s="28"/>
    </row>
    <row r="321" spans="2:34" s="7" customFormat="1" ht="10" customHeight="1" x14ac:dyDescent="0.35">
      <c r="B321"/>
      <c r="P321" s="75" t="s">
        <v>10</v>
      </c>
      <c r="Q321" s="77"/>
      <c r="AE321" s="28"/>
      <c r="AF321" s="28"/>
      <c r="AG321" s="28"/>
      <c r="AH321" s="28"/>
    </row>
    <row r="322" spans="2:34" s="7" customFormat="1" ht="10" customHeight="1" x14ac:dyDescent="0.35">
      <c r="B322"/>
      <c r="P322" s="75" t="s">
        <v>157</v>
      </c>
      <c r="Q322" s="77"/>
      <c r="AE322" s="28"/>
      <c r="AF322" s="28"/>
      <c r="AG322" s="28"/>
      <c r="AH322" s="28"/>
    </row>
    <row r="323" spans="2:34" s="7" customFormat="1" ht="10" customHeight="1" x14ac:dyDescent="0.35">
      <c r="B323"/>
      <c r="P323" s="75" t="s">
        <v>6</v>
      </c>
      <c r="Q323" s="77"/>
      <c r="AE323" s="28"/>
      <c r="AF323" s="28"/>
      <c r="AG323" s="28"/>
      <c r="AH323" s="28"/>
    </row>
    <row r="324" spans="2:34" s="7" customFormat="1" ht="10" customHeight="1" x14ac:dyDescent="0.35">
      <c r="B324"/>
      <c r="P324" s="75" t="s">
        <v>8</v>
      </c>
      <c r="Q324" s="77"/>
      <c r="AE324" s="28"/>
      <c r="AF324" s="28"/>
      <c r="AG324" s="28"/>
      <c r="AH324" s="28"/>
    </row>
    <row r="325" spans="2:34" s="7" customFormat="1" ht="10" customHeight="1" x14ac:dyDescent="0.35">
      <c r="B325"/>
      <c r="P325" s="75" t="s">
        <v>11</v>
      </c>
      <c r="Q325" s="77"/>
      <c r="AE325" s="28"/>
      <c r="AF325" s="28"/>
      <c r="AG325" s="28"/>
      <c r="AH325" s="28"/>
    </row>
    <row r="326" spans="2:34" s="7" customFormat="1" ht="10" customHeight="1" x14ac:dyDescent="0.35">
      <c r="B326"/>
      <c r="P326" s="75" t="s">
        <v>9</v>
      </c>
      <c r="Q326" s="77"/>
      <c r="AE326" s="28"/>
      <c r="AF326" s="28"/>
      <c r="AG326" s="28"/>
      <c r="AH326" s="28"/>
    </row>
    <row r="327" spans="2:34" s="7" customFormat="1" ht="10" customHeight="1" thickBot="1" x14ac:dyDescent="0.4">
      <c r="B327"/>
      <c r="P327" s="78" t="s">
        <v>158</v>
      </c>
      <c r="Q327" s="80"/>
      <c r="AE327" s="28"/>
      <c r="AF327" s="28"/>
      <c r="AG327" s="28"/>
      <c r="AH327" s="28"/>
    </row>
    <row r="328" spans="2:34" s="7" customFormat="1" ht="10" customHeight="1" x14ac:dyDescent="0.35">
      <c r="B328"/>
      <c r="AE328" s="28"/>
      <c r="AF328" s="28"/>
      <c r="AG328" s="28"/>
      <c r="AH328" s="28"/>
    </row>
    <row r="329" spans="2:34" s="7" customFormat="1" ht="10" customHeight="1" thickBot="1" x14ac:dyDescent="0.4">
      <c r="B329"/>
      <c r="D329" s="25">
        <v>0.375</v>
      </c>
      <c r="E329" s="25">
        <v>0.38541666666666669</v>
      </c>
      <c r="F329" s="25">
        <v>0.39583333333333298</v>
      </c>
      <c r="G329" s="25">
        <v>0.40625</v>
      </c>
      <c r="H329" s="25">
        <v>0.41666666666666702</v>
      </c>
      <c r="I329" s="25">
        <v>0.4236111111111111</v>
      </c>
      <c r="J329" s="25">
        <v>0.43055555555555558</v>
      </c>
      <c r="K329" s="25">
        <v>0.4375</v>
      </c>
      <c r="L329" s="25">
        <v>0.44444444444444442</v>
      </c>
      <c r="M329" s="25">
        <v>0.45833333333333331</v>
      </c>
      <c r="N329" s="25">
        <v>0.47222222222222227</v>
      </c>
      <c r="O329" s="25">
        <v>0.4861111111111111</v>
      </c>
      <c r="P329" s="25">
        <v>0.5</v>
      </c>
      <c r="Q329" s="25">
        <v>0.51041666666666663</v>
      </c>
      <c r="R329" s="25">
        <v>0.52083333333333337</v>
      </c>
      <c r="S329" s="25">
        <v>0.53125</v>
      </c>
      <c r="T329" s="25">
        <v>0.54166666666666663</v>
      </c>
      <c r="U329" s="25">
        <v>0.55555555555555558</v>
      </c>
      <c r="V329" s="25">
        <v>0.56944444444444442</v>
      </c>
      <c r="W329" s="25">
        <v>0.58333333333333337</v>
      </c>
      <c r="X329" s="25">
        <v>0.59722222222222221</v>
      </c>
      <c r="Y329" s="25">
        <v>0.61111111111111105</v>
      </c>
      <c r="Z329" s="25">
        <v>0.625</v>
      </c>
      <c r="AA329" s="25">
        <v>0.63888888888888895</v>
      </c>
      <c r="AE329" s="28"/>
      <c r="AF329" s="28"/>
      <c r="AG329" s="28"/>
      <c r="AH329" s="28"/>
    </row>
    <row r="330" spans="2:34" s="7" customFormat="1" ht="10" customHeight="1" thickBot="1" x14ac:dyDescent="0.4">
      <c r="B330"/>
      <c r="D330" s="45" t="s">
        <v>159</v>
      </c>
      <c r="E330" s="47"/>
      <c r="F330" s="45" t="s">
        <v>204</v>
      </c>
      <c r="G330" s="47"/>
      <c r="H330" s="45" t="s">
        <v>78</v>
      </c>
      <c r="I330" s="47"/>
      <c r="J330" s="43" t="s">
        <v>109</v>
      </c>
      <c r="K330" s="46"/>
      <c r="L330" s="44"/>
      <c r="M330" s="43" t="s">
        <v>110</v>
      </c>
      <c r="N330" s="46"/>
      <c r="O330" s="44"/>
      <c r="P330" s="45" t="s">
        <v>112</v>
      </c>
      <c r="Q330" s="47"/>
      <c r="R330" s="45" t="s">
        <v>113</v>
      </c>
      <c r="S330" s="46"/>
      <c r="T330" s="43" t="s">
        <v>111</v>
      </c>
      <c r="U330" s="44"/>
      <c r="V330" s="43" t="s">
        <v>114</v>
      </c>
      <c r="W330" s="44"/>
      <c r="X330" s="43" t="s">
        <v>205</v>
      </c>
      <c r="Y330" s="44"/>
      <c r="Z330" s="26" t="s">
        <v>206</v>
      </c>
      <c r="AA330" s="27"/>
      <c r="AE330" s="28"/>
      <c r="AF330" s="28"/>
      <c r="AG330" s="28"/>
      <c r="AH330" s="28"/>
    </row>
    <row r="331" spans="2:34" s="7" customFormat="1" ht="10" customHeight="1" x14ac:dyDescent="0.35">
      <c r="B331"/>
      <c r="C331" s="7" t="s">
        <v>80</v>
      </c>
      <c r="F331" s="72" t="s">
        <v>221</v>
      </c>
      <c r="G331" s="73"/>
      <c r="H331" s="73"/>
      <c r="I331" s="73"/>
      <c r="J331" s="73"/>
      <c r="K331" s="73"/>
      <c r="L331" s="73"/>
      <c r="M331" s="73"/>
      <c r="N331" s="73"/>
      <c r="O331" s="74"/>
      <c r="T331" s="72" t="s">
        <v>7</v>
      </c>
      <c r="U331" s="74"/>
      <c r="V331" s="72" t="s">
        <v>7</v>
      </c>
      <c r="W331" s="73"/>
      <c r="X331" s="73"/>
      <c r="Y331" s="73"/>
      <c r="Z331" s="74"/>
      <c r="AB331" s="7">
        <v>4.8400001525878906</v>
      </c>
      <c r="AE331" s="28"/>
      <c r="AF331" s="28"/>
      <c r="AG331" s="28"/>
      <c r="AH331" s="28"/>
    </row>
    <row r="332" spans="2:34" s="7" customFormat="1" ht="10" customHeight="1" x14ac:dyDescent="0.35">
      <c r="B332"/>
      <c r="F332" s="75" t="s">
        <v>145</v>
      </c>
      <c r="G332" s="76"/>
      <c r="H332" s="76"/>
      <c r="I332" s="76"/>
      <c r="J332" s="76"/>
      <c r="K332" s="76"/>
      <c r="L332" s="76"/>
      <c r="M332" s="76"/>
      <c r="N332" s="76"/>
      <c r="O332" s="77"/>
      <c r="T332" s="75" t="s">
        <v>143</v>
      </c>
      <c r="U332" s="77"/>
      <c r="V332" s="75" t="s">
        <v>143</v>
      </c>
      <c r="W332" s="76"/>
      <c r="X332" s="76"/>
      <c r="Y332" s="76"/>
      <c r="Z332" s="77"/>
      <c r="AE332" s="28"/>
      <c r="AF332" s="28"/>
      <c r="AG332" s="28"/>
      <c r="AH332" s="28"/>
    </row>
    <row r="333" spans="2:34" s="7" customFormat="1" ht="10" customHeight="1" x14ac:dyDescent="0.35">
      <c r="B333"/>
      <c r="F333" s="75" t="s">
        <v>80</v>
      </c>
      <c r="G333" s="76"/>
      <c r="H333" s="76"/>
      <c r="I333" s="76"/>
      <c r="J333" s="76"/>
      <c r="K333" s="76"/>
      <c r="L333" s="76"/>
      <c r="M333" s="76"/>
      <c r="N333" s="76"/>
      <c r="O333" s="77"/>
      <c r="T333" s="75" t="s">
        <v>73</v>
      </c>
      <c r="U333" s="77"/>
      <c r="V333" s="75" t="s">
        <v>75</v>
      </c>
      <c r="W333" s="76"/>
      <c r="X333" s="76"/>
      <c r="Y333" s="76"/>
      <c r="Z333" s="77"/>
      <c r="AE333" s="28"/>
      <c r="AF333" s="28"/>
      <c r="AG333" s="28"/>
      <c r="AH333" s="28"/>
    </row>
    <row r="334" spans="2:34" s="7" customFormat="1" ht="10" customHeight="1" x14ac:dyDescent="0.35">
      <c r="B334"/>
      <c r="F334" s="75"/>
      <c r="G334" s="76"/>
      <c r="H334" s="76"/>
      <c r="I334" s="76"/>
      <c r="J334" s="76"/>
      <c r="K334" s="76"/>
      <c r="L334" s="76"/>
      <c r="M334" s="76"/>
      <c r="N334" s="76"/>
      <c r="O334" s="77"/>
      <c r="T334" s="75" t="s">
        <v>80</v>
      </c>
      <c r="U334" s="77"/>
      <c r="V334" s="75" t="s">
        <v>80</v>
      </c>
      <c r="W334" s="76"/>
      <c r="X334" s="76"/>
      <c r="Y334" s="76"/>
      <c r="Z334" s="77"/>
      <c r="AE334" s="28"/>
      <c r="AF334" s="28"/>
      <c r="AG334" s="28"/>
      <c r="AH334" s="28"/>
    </row>
    <row r="335" spans="2:34" s="7" customFormat="1" ht="10" customHeight="1" thickBot="1" x14ac:dyDescent="0.4">
      <c r="B335"/>
      <c r="F335" s="78" t="s">
        <v>6</v>
      </c>
      <c r="G335" s="79"/>
      <c r="H335" s="79"/>
      <c r="I335" s="79"/>
      <c r="J335" s="79"/>
      <c r="K335" s="79"/>
      <c r="L335" s="79"/>
      <c r="M335" s="79"/>
      <c r="N335" s="79"/>
      <c r="O335" s="80"/>
      <c r="T335" s="75" t="s">
        <v>99</v>
      </c>
      <c r="U335" s="77"/>
      <c r="V335" s="75" t="s">
        <v>99</v>
      </c>
      <c r="W335" s="76"/>
      <c r="X335" s="76"/>
      <c r="Y335" s="76"/>
      <c r="Z335" s="77"/>
      <c r="AE335" s="28"/>
      <c r="AF335" s="28"/>
      <c r="AG335" s="28"/>
      <c r="AH335" s="28"/>
    </row>
    <row r="336" spans="2:34" s="7" customFormat="1" ht="10" customHeight="1" x14ac:dyDescent="0.35">
      <c r="B336"/>
      <c r="T336" s="75"/>
      <c r="U336" s="77"/>
      <c r="V336" s="75"/>
      <c r="W336" s="76"/>
      <c r="X336" s="76"/>
      <c r="Y336" s="76"/>
      <c r="Z336" s="77"/>
      <c r="AE336" s="28"/>
      <c r="AF336" s="28"/>
      <c r="AG336" s="28"/>
      <c r="AH336" s="28"/>
    </row>
    <row r="337" spans="2:34" s="7" customFormat="1" ht="10" customHeight="1" x14ac:dyDescent="0.35">
      <c r="B337"/>
      <c r="T337" s="75" t="s">
        <v>10</v>
      </c>
      <c r="U337" s="77"/>
      <c r="V337" s="75" t="s">
        <v>6</v>
      </c>
      <c r="W337" s="76"/>
      <c r="X337" s="76"/>
      <c r="Y337" s="76"/>
      <c r="Z337" s="77"/>
      <c r="AE337" s="28"/>
      <c r="AF337" s="28"/>
      <c r="AG337" s="28"/>
      <c r="AH337" s="28"/>
    </row>
    <row r="338" spans="2:34" s="7" customFormat="1" ht="10" customHeight="1" x14ac:dyDescent="0.35">
      <c r="B338"/>
      <c r="T338" s="75" t="s">
        <v>6</v>
      </c>
      <c r="U338" s="77"/>
      <c r="V338" s="75" t="s">
        <v>9</v>
      </c>
      <c r="W338" s="76"/>
      <c r="X338" s="76"/>
      <c r="Y338" s="76"/>
      <c r="Z338" s="77"/>
      <c r="AE338" s="28"/>
      <c r="AF338" s="28"/>
      <c r="AG338" s="28"/>
      <c r="AH338" s="28"/>
    </row>
    <row r="339" spans="2:34" s="7" customFormat="1" ht="10" customHeight="1" thickBot="1" x14ac:dyDescent="0.4">
      <c r="B339"/>
      <c r="T339" s="75" t="s">
        <v>9</v>
      </c>
      <c r="U339" s="77"/>
      <c r="V339" s="78" t="s">
        <v>158</v>
      </c>
      <c r="W339" s="79"/>
      <c r="X339" s="79"/>
      <c r="Y339" s="79"/>
      <c r="Z339" s="80"/>
      <c r="AE339" s="28"/>
      <c r="AF339" s="28"/>
      <c r="AG339" s="28"/>
      <c r="AH339" s="28"/>
    </row>
    <row r="340" spans="2:34" s="7" customFormat="1" ht="10" customHeight="1" thickBot="1" x14ac:dyDescent="0.4">
      <c r="B340"/>
      <c r="T340" s="78" t="s">
        <v>158</v>
      </c>
      <c r="U340" s="80"/>
      <c r="AE340" s="28"/>
      <c r="AF340" s="28"/>
      <c r="AG340" s="28"/>
      <c r="AH340" s="28"/>
    </row>
    <row r="341" spans="2:34" s="7" customFormat="1" ht="10" customHeight="1" x14ac:dyDescent="0.35">
      <c r="B341"/>
      <c r="AE341" s="28"/>
      <c r="AF341" s="28"/>
      <c r="AG341" s="28"/>
      <c r="AH341" s="28"/>
    </row>
    <row r="342" spans="2:34" s="7" customFormat="1" ht="10" customHeight="1" thickBot="1" x14ac:dyDescent="0.4">
      <c r="B342"/>
      <c r="D342" s="25">
        <v>0.375</v>
      </c>
      <c r="E342" s="25">
        <v>0.38541666666666669</v>
      </c>
      <c r="F342" s="25">
        <v>0.39583333333333298</v>
      </c>
      <c r="G342" s="25">
        <v>0.40625</v>
      </c>
      <c r="H342" s="25">
        <v>0.41666666666666702</v>
      </c>
      <c r="I342" s="25">
        <v>0.4236111111111111</v>
      </c>
      <c r="J342" s="25">
        <v>0.43055555555555558</v>
      </c>
      <c r="K342" s="25">
        <v>0.4375</v>
      </c>
      <c r="L342" s="25">
        <v>0.44444444444444442</v>
      </c>
      <c r="M342" s="25">
        <v>0.45833333333333331</v>
      </c>
      <c r="N342" s="25">
        <v>0.47222222222222227</v>
      </c>
      <c r="O342" s="25">
        <v>0.4861111111111111</v>
      </c>
      <c r="P342" s="25">
        <v>0.5</v>
      </c>
      <c r="Q342" s="25">
        <v>0.51041666666666663</v>
      </c>
      <c r="R342" s="25">
        <v>0.52083333333333337</v>
      </c>
      <c r="S342" s="25">
        <v>0.53125</v>
      </c>
      <c r="T342" s="25">
        <v>0.54166666666666663</v>
      </c>
      <c r="U342" s="25">
        <v>0.55555555555555558</v>
      </c>
      <c r="V342" s="25">
        <v>0.56944444444444442</v>
      </c>
      <c r="W342" s="25">
        <v>0.58333333333333337</v>
      </c>
      <c r="X342" s="25">
        <v>0.59722222222222221</v>
      </c>
      <c r="Y342" s="25">
        <v>0.61111111111111105</v>
      </c>
      <c r="Z342" s="25">
        <v>0.625</v>
      </c>
      <c r="AA342" s="25">
        <v>0.63888888888888895</v>
      </c>
      <c r="AE342" s="28"/>
      <c r="AF342" s="28"/>
      <c r="AG342" s="28"/>
      <c r="AH342" s="28"/>
    </row>
    <row r="343" spans="2:34" s="7" customFormat="1" ht="10" customHeight="1" thickBot="1" x14ac:dyDescent="0.4">
      <c r="B343"/>
      <c r="D343" s="45" t="s">
        <v>159</v>
      </c>
      <c r="E343" s="47"/>
      <c r="F343" s="45" t="s">
        <v>204</v>
      </c>
      <c r="G343" s="47"/>
      <c r="H343" s="45" t="s">
        <v>78</v>
      </c>
      <c r="I343" s="47"/>
      <c r="J343" s="43" t="s">
        <v>109</v>
      </c>
      <c r="K343" s="46"/>
      <c r="L343" s="44"/>
      <c r="M343" s="43" t="s">
        <v>110</v>
      </c>
      <c r="N343" s="46"/>
      <c r="O343" s="44"/>
      <c r="P343" s="45" t="s">
        <v>112</v>
      </c>
      <c r="Q343" s="47"/>
      <c r="R343" s="45" t="s">
        <v>113</v>
      </c>
      <c r="S343" s="46"/>
      <c r="T343" s="43" t="s">
        <v>111</v>
      </c>
      <c r="U343" s="44"/>
      <c r="V343" s="43" t="s">
        <v>114</v>
      </c>
      <c r="W343" s="44"/>
      <c r="X343" s="43" t="s">
        <v>205</v>
      </c>
      <c r="Y343" s="44"/>
      <c r="Z343" s="26" t="s">
        <v>206</v>
      </c>
      <c r="AA343" s="27"/>
      <c r="AE343" s="28"/>
      <c r="AF343" s="28"/>
      <c r="AG343" s="28"/>
      <c r="AH343" s="28"/>
    </row>
    <row r="344" spans="2:34" s="7" customFormat="1" ht="10" customHeight="1" x14ac:dyDescent="0.35">
      <c r="B344"/>
      <c r="C344" s="7" t="s">
        <v>81</v>
      </c>
      <c r="D344" s="72" t="s">
        <v>160</v>
      </c>
      <c r="E344" s="73"/>
      <c r="F344" s="81" t="s">
        <v>98</v>
      </c>
      <c r="G344" s="74"/>
      <c r="J344" s="72" t="s">
        <v>0</v>
      </c>
      <c r="K344" s="73"/>
      <c r="L344" s="73"/>
      <c r="M344" s="73"/>
      <c r="N344" s="73"/>
      <c r="O344" s="74"/>
      <c r="AB344" s="7">
        <v>2.6700000762939453</v>
      </c>
      <c r="AE344" s="28"/>
      <c r="AF344" s="28"/>
      <c r="AG344" s="28"/>
      <c r="AH344" s="28"/>
    </row>
    <row r="345" spans="2:34" s="7" customFormat="1" ht="10" customHeight="1" x14ac:dyDescent="0.35">
      <c r="B345"/>
      <c r="D345" s="75" t="s">
        <v>141</v>
      </c>
      <c r="E345" s="76"/>
      <c r="F345" s="82" t="s">
        <v>143</v>
      </c>
      <c r="G345" s="77"/>
      <c r="J345" s="75" t="s">
        <v>141</v>
      </c>
      <c r="K345" s="76"/>
      <c r="L345" s="76"/>
      <c r="M345" s="76"/>
      <c r="N345" s="76"/>
      <c r="O345" s="77"/>
      <c r="AE345" s="28"/>
      <c r="AF345" s="28"/>
      <c r="AG345" s="28"/>
      <c r="AH345" s="28"/>
    </row>
    <row r="346" spans="2:34" s="7" customFormat="1" ht="10" customHeight="1" x14ac:dyDescent="0.35">
      <c r="B346"/>
      <c r="D346" s="75" t="s">
        <v>69</v>
      </c>
      <c r="E346" s="76"/>
      <c r="F346" s="82" t="s">
        <v>118</v>
      </c>
      <c r="G346" s="77"/>
      <c r="J346" s="75" t="s">
        <v>75</v>
      </c>
      <c r="K346" s="76"/>
      <c r="L346" s="76"/>
      <c r="M346" s="76"/>
      <c r="N346" s="76"/>
      <c r="O346" s="77"/>
      <c r="AE346" s="28"/>
      <c r="AF346" s="28"/>
      <c r="AG346" s="28"/>
      <c r="AH346" s="28"/>
    </row>
    <row r="347" spans="2:34" s="7" customFormat="1" ht="10" customHeight="1" x14ac:dyDescent="0.35">
      <c r="B347"/>
      <c r="D347" s="75" t="s">
        <v>81</v>
      </c>
      <c r="E347" s="76"/>
      <c r="F347" s="82" t="s">
        <v>72</v>
      </c>
      <c r="G347" s="77"/>
      <c r="J347" s="75" t="s">
        <v>69</v>
      </c>
      <c r="K347" s="76"/>
      <c r="L347" s="76"/>
      <c r="M347" s="76"/>
      <c r="N347" s="76"/>
      <c r="O347" s="77"/>
      <c r="AE347" s="28"/>
      <c r="AF347" s="28"/>
      <c r="AG347" s="28"/>
      <c r="AH347" s="28"/>
    </row>
    <row r="348" spans="2:34" s="7" customFormat="1" ht="10" customHeight="1" x14ac:dyDescent="0.35">
      <c r="B348"/>
      <c r="D348" s="75" t="s">
        <v>71</v>
      </c>
      <c r="E348" s="76"/>
      <c r="F348" s="82" t="s">
        <v>81</v>
      </c>
      <c r="G348" s="77"/>
      <c r="J348" s="75" t="s">
        <v>81</v>
      </c>
      <c r="K348" s="76"/>
      <c r="L348" s="76"/>
      <c r="M348" s="76"/>
      <c r="N348" s="76"/>
      <c r="O348" s="77"/>
      <c r="AE348" s="28"/>
      <c r="AF348" s="28"/>
      <c r="AG348" s="28"/>
      <c r="AH348" s="28"/>
    </row>
    <row r="349" spans="2:34" s="7" customFormat="1" ht="10" customHeight="1" x14ac:dyDescent="0.35">
      <c r="B349"/>
      <c r="D349" s="75"/>
      <c r="E349" s="76"/>
      <c r="F349" s="82" t="s">
        <v>190</v>
      </c>
      <c r="G349" s="77"/>
      <c r="J349" s="75" t="s">
        <v>71</v>
      </c>
      <c r="K349" s="76"/>
      <c r="L349" s="76"/>
      <c r="M349" s="76"/>
      <c r="N349" s="76"/>
      <c r="O349" s="77"/>
      <c r="AE349" s="28"/>
      <c r="AF349" s="28"/>
      <c r="AG349" s="28"/>
      <c r="AH349" s="28"/>
    </row>
    <row r="350" spans="2:34" s="7" customFormat="1" ht="10" customHeight="1" x14ac:dyDescent="0.35">
      <c r="B350"/>
      <c r="D350" s="75" t="s">
        <v>3</v>
      </c>
      <c r="E350" s="76"/>
      <c r="F350" s="82" t="s">
        <v>70</v>
      </c>
      <c r="G350" s="77"/>
      <c r="J350" s="75"/>
      <c r="K350" s="76"/>
      <c r="L350" s="76"/>
      <c r="M350" s="76"/>
      <c r="N350" s="76"/>
      <c r="O350" s="77"/>
      <c r="AE350" s="28"/>
      <c r="AF350" s="28"/>
      <c r="AG350" s="28"/>
      <c r="AH350" s="28"/>
    </row>
    <row r="351" spans="2:34" s="7" customFormat="1" ht="10" customHeight="1" x14ac:dyDescent="0.35">
      <c r="B351"/>
      <c r="D351" s="75" t="s">
        <v>4</v>
      </c>
      <c r="E351" s="76"/>
      <c r="F351" s="82"/>
      <c r="G351" s="77"/>
      <c r="J351" s="75" t="s">
        <v>3</v>
      </c>
      <c r="K351" s="76"/>
      <c r="L351" s="76"/>
      <c r="M351" s="76"/>
      <c r="N351" s="76"/>
      <c r="O351" s="77"/>
      <c r="AE351" s="28"/>
      <c r="AF351" s="28"/>
      <c r="AG351" s="28"/>
      <c r="AH351" s="28"/>
    </row>
    <row r="352" spans="2:34" s="7" customFormat="1" ht="10" customHeight="1" x14ac:dyDescent="0.35">
      <c r="B352"/>
      <c r="D352" s="75" t="s">
        <v>1</v>
      </c>
      <c r="E352" s="76"/>
      <c r="F352" s="82" t="s">
        <v>2</v>
      </c>
      <c r="G352" s="77"/>
      <c r="J352" s="75" t="s">
        <v>4</v>
      </c>
      <c r="K352" s="76"/>
      <c r="L352" s="76"/>
      <c r="M352" s="76"/>
      <c r="N352" s="76"/>
      <c r="O352" s="77"/>
      <c r="AE352" s="28"/>
      <c r="AF352" s="28"/>
      <c r="AG352" s="28"/>
      <c r="AH352" s="28"/>
    </row>
    <row r="353" spans="2:34" s="7" customFormat="1" ht="10" customHeight="1" thickBot="1" x14ac:dyDescent="0.4">
      <c r="B353"/>
      <c r="D353" s="78" t="s">
        <v>147</v>
      </c>
      <c r="E353" s="79"/>
      <c r="F353" s="82" t="s">
        <v>4</v>
      </c>
      <c r="G353" s="77"/>
      <c r="J353" s="75" t="s">
        <v>1</v>
      </c>
      <c r="K353" s="76"/>
      <c r="L353" s="76"/>
      <c r="M353" s="76"/>
      <c r="N353" s="76"/>
      <c r="O353" s="77"/>
      <c r="AE353" s="28"/>
      <c r="AF353" s="28"/>
      <c r="AG353" s="28"/>
      <c r="AH353" s="28"/>
    </row>
    <row r="354" spans="2:34" s="7" customFormat="1" ht="10" customHeight="1" thickBot="1" x14ac:dyDescent="0.4">
      <c r="B354"/>
      <c r="F354" s="82" t="s">
        <v>1</v>
      </c>
      <c r="G354" s="77"/>
      <c r="J354" s="78" t="s">
        <v>147</v>
      </c>
      <c r="K354" s="79"/>
      <c r="L354" s="79"/>
      <c r="M354" s="79"/>
      <c r="N354" s="79"/>
      <c r="O354" s="80"/>
      <c r="AE354" s="28"/>
      <c r="AF354" s="28"/>
      <c r="AG354" s="28"/>
      <c r="AH354" s="28"/>
    </row>
    <row r="355" spans="2:34" s="7" customFormat="1" ht="10" customHeight="1" x14ac:dyDescent="0.35">
      <c r="B355"/>
      <c r="F355" s="82" t="s">
        <v>147</v>
      </c>
      <c r="G355" s="77"/>
      <c r="AE355" s="28"/>
      <c r="AF355" s="28"/>
      <c r="AG355" s="28"/>
      <c r="AH355" s="28"/>
    </row>
    <row r="356" spans="2:34" s="7" customFormat="1" ht="10" customHeight="1" x14ac:dyDescent="0.35">
      <c r="B356"/>
      <c r="F356" s="82" t="s">
        <v>10</v>
      </c>
      <c r="G356" s="77"/>
      <c r="AE356" s="28"/>
      <c r="AF356" s="28"/>
      <c r="AG356" s="28"/>
      <c r="AH356" s="28"/>
    </row>
    <row r="357" spans="2:34" s="7" customFormat="1" ht="10" customHeight="1" x14ac:dyDescent="0.35">
      <c r="B357"/>
      <c r="F357" s="82" t="s">
        <v>9</v>
      </c>
      <c r="G357" s="77"/>
      <c r="AE357" s="28"/>
      <c r="AF357" s="28"/>
      <c r="AG357" s="28"/>
      <c r="AH357" s="28"/>
    </row>
    <row r="358" spans="2:34" s="7" customFormat="1" ht="10" customHeight="1" thickBot="1" x14ac:dyDescent="0.4">
      <c r="B358"/>
      <c r="F358" s="83" t="s">
        <v>158</v>
      </c>
      <c r="G358" s="80"/>
      <c r="AE358" s="28"/>
      <c r="AF358" s="28"/>
      <c r="AG358" s="28"/>
      <c r="AH358" s="28"/>
    </row>
    <row r="359" spans="2:34" s="7" customFormat="1" ht="10" customHeight="1" x14ac:dyDescent="0.35">
      <c r="B359"/>
      <c r="AE359" s="28"/>
      <c r="AF359" s="28"/>
      <c r="AG359" s="28"/>
      <c r="AH359" s="28"/>
    </row>
    <row r="360" spans="2:34" s="7" customFormat="1" ht="10" customHeight="1" thickBot="1" x14ac:dyDescent="0.4">
      <c r="B360"/>
      <c r="D360" s="25">
        <v>0.375</v>
      </c>
      <c r="E360" s="25">
        <v>0.38541666666666669</v>
      </c>
      <c r="F360" s="25">
        <v>0.39583333333333298</v>
      </c>
      <c r="G360" s="25">
        <v>0.40625</v>
      </c>
      <c r="H360" s="25">
        <v>0.41666666666666702</v>
      </c>
      <c r="I360" s="25">
        <v>0.4236111111111111</v>
      </c>
      <c r="J360" s="25">
        <v>0.43055555555555558</v>
      </c>
      <c r="K360" s="25">
        <v>0.4375</v>
      </c>
      <c r="L360" s="25">
        <v>0.44444444444444442</v>
      </c>
      <c r="M360" s="25">
        <v>0.45833333333333331</v>
      </c>
      <c r="N360" s="25">
        <v>0.47222222222222227</v>
      </c>
      <c r="O360" s="25">
        <v>0.4861111111111111</v>
      </c>
      <c r="P360" s="25">
        <v>0.5</v>
      </c>
      <c r="Q360" s="25">
        <v>0.51041666666666663</v>
      </c>
      <c r="R360" s="25">
        <v>0.52083333333333337</v>
      </c>
      <c r="S360" s="25">
        <v>0.53125</v>
      </c>
      <c r="T360" s="25">
        <v>0.54166666666666663</v>
      </c>
      <c r="U360" s="25">
        <v>0.55555555555555558</v>
      </c>
      <c r="V360" s="25">
        <v>0.56944444444444442</v>
      </c>
      <c r="W360" s="25">
        <v>0.58333333333333337</v>
      </c>
      <c r="X360" s="25">
        <v>0.59722222222222221</v>
      </c>
      <c r="Y360" s="25">
        <v>0.61111111111111105</v>
      </c>
      <c r="Z360" s="25">
        <v>0.625</v>
      </c>
      <c r="AA360" s="25">
        <v>0.63888888888888895</v>
      </c>
      <c r="AE360" s="28"/>
      <c r="AF360" s="28"/>
      <c r="AG360" s="28"/>
      <c r="AH360" s="28"/>
    </row>
    <row r="361" spans="2:34" s="7" customFormat="1" ht="10" customHeight="1" thickBot="1" x14ac:dyDescent="0.4">
      <c r="B361"/>
      <c r="D361" s="45" t="s">
        <v>159</v>
      </c>
      <c r="E361" s="47"/>
      <c r="F361" s="45" t="s">
        <v>204</v>
      </c>
      <c r="G361" s="47"/>
      <c r="H361" s="45" t="s">
        <v>78</v>
      </c>
      <c r="I361" s="47"/>
      <c r="J361" s="43" t="s">
        <v>109</v>
      </c>
      <c r="K361" s="46"/>
      <c r="L361" s="44"/>
      <c r="M361" s="43" t="s">
        <v>110</v>
      </c>
      <c r="N361" s="46"/>
      <c r="O361" s="44"/>
      <c r="P361" s="45" t="s">
        <v>112</v>
      </c>
      <c r="Q361" s="47"/>
      <c r="R361" s="45" t="s">
        <v>113</v>
      </c>
      <c r="S361" s="46"/>
      <c r="T361" s="43" t="s">
        <v>111</v>
      </c>
      <c r="U361" s="44"/>
      <c r="V361" s="43" t="s">
        <v>114</v>
      </c>
      <c r="W361" s="44"/>
      <c r="X361" s="43" t="s">
        <v>205</v>
      </c>
      <c r="Y361" s="44"/>
      <c r="Z361" s="26" t="s">
        <v>206</v>
      </c>
      <c r="AA361" s="27"/>
      <c r="AE361" s="28"/>
      <c r="AF361" s="28"/>
      <c r="AG361" s="28"/>
      <c r="AH361" s="28"/>
    </row>
    <row r="362" spans="2:34" s="7" customFormat="1" ht="10" customHeight="1" x14ac:dyDescent="0.35">
      <c r="B362"/>
      <c r="C362" s="7" t="s">
        <v>100</v>
      </c>
      <c r="F362" s="72" t="s">
        <v>13</v>
      </c>
      <c r="G362" s="73"/>
      <c r="H362" s="73"/>
      <c r="I362" s="73"/>
      <c r="J362" s="73"/>
      <c r="K362" s="73"/>
      <c r="L362" s="73"/>
      <c r="M362" s="73"/>
      <c r="N362" s="73"/>
      <c r="O362" s="74"/>
      <c r="P362" s="72" t="s">
        <v>13</v>
      </c>
      <c r="Q362" s="73"/>
      <c r="R362" s="73"/>
      <c r="S362" s="74"/>
      <c r="T362" s="72" t="s">
        <v>13</v>
      </c>
      <c r="U362" s="74"/>
      <c r="V362" s="72" t="s">
        <v>13</v>
      </c>
      <c r="W362" s="73"/>
      <c r="X362" s="74"/>
      <c r="AB362" s="7">
        <v>5.1700000762939453</v>
      </c>
      <c r="AE362" s="28"/>
      <c r="AF362" s="28"/>
      <c r="AG362" s="28"/>
      <c r="AH362" s="28"/>
    </row>
    <row r="363" spans="2:34" s="7" customFormat="1" ht="10" customHeight="1" x14ac:dyDescent="0.35">
      <c r="B363"/>
      <c r="F363" s="75" t="s">
        <v>144</v>
      </c>
      <c r="G363" s="76"/>
      <c r="H363" s="76"/>
      <c r="I363" s="76"/>
      <c r="J363" s="76"/>
      <c r="K363" s="76"/>
      <c r="L363" s="76"/>
      <c r="M363" s="76"/>
      <c r="N363" s="76"/>
      <c r="O363" s="77"/>
      <c r="P363" s="75" t="s">
        <v>189</v>
      </c>
      <c r="Q363" s="76"/>
      <c r="R363" s="76"/>
      <c r="S363" s="77"/>
      <c r="T363" s="75" t="s">
        <v>189</v>
      </c>
      <c r="U363" s="77"/>
      <c r="V363" s="75" t="s">
        <v>189</v>
      </c>
      <c r="W363" s="76"/>
      <c r="X363" s="77"/>
      <c r="AE363" s="28"/>
      <c r="AF363" s="28"/>
      <c r="AG363" s="28"/>
      <c r="AH363" s="28"/>
    </row>
    <row r="364" spans="2:34" s="7" customFormat="1" ht="10" customHeight="1" x14ac:dyDescent="0.35">
      <c r="B364"/>
      <c r="F364" s="75" t="s">
        <v>100</v>
      </c>
      <c r="G364" s="76"/>
      <c r="H364" s="76"/>
      <c r="I364" s="76"/>
      <c r="J364" s="76"/>
      <c r="K364" s="76"/>
      <c r="L364" s="76"/>
      <c r="M364" s="76"/>
      <c r="N364" s="76"/>
      <c r="O364" s="77"/>
      <c r="P364" s="75" t="s">
        <v>100</v>
      </c>
      <c r="Q364" s="76"/>
      <c r="R364" s="76"/>
      <c r="S364" s="77"/>
      <c r="T364" s="75" t="s">
        <v>75</v>
      </c>
      <c r="U364" s="77"/>
      <c r="V364" s="75" t="s">
        <v>73</v>
      </c>
      <c r="W364" s="76"/>
      <c r="X364" s="77"/>
      <c r="AE364" s="28"/>
      <c r="AF364" s="28"/>
      <c r="AG364" s="28"/>
      <c r="AH364" s="28"/>
    </row>
    <row r="365" spans="2:34" s="7" customFormat="1" ht="10" customHeight="1" x14ac:dyDescent="0.35">
      <c r="B365"/>
      <c r="F365" s="75" t="s">
        <v>82</v>
      </c>
      <c r="G365" s="76"/>
      <c r="H365" s="76"/>
      <c r="I365" s="76"/>
      <c r="J365" s="76"/>
      <c r="K365" s="76"/>
      <c r="L365" s="76"/>
      <c r="M365" s="76"/>
      <c r="N365" s="76"/>
      <c r="O365" s="77"/>
      <c r="P365" s="75" t="s">
        <v>99</v>
      </c>
      <c r="Q365" s="76"/>
      <c r="R365" s="76"/>
      <c r="S365" s="77"/>
      <c r="T365" s="75" t="s">
        <v>100</v>
      </c>
      <c r="U365" s="77"/>
      <c r="V365" s="75" t="s">
        <v>100</v>
      </c>
      <c r="W365" s="76"/>
      <c r="X365" s="77"/>
      <c r="AE365" s="28"/>
      <c r="AF365" s="28"/>
      <c r="AG365" s="28"/>
      <c r="AH365" s="28"/>
    </row>
    <row r="366" spans="2:34" s="7" customFormat="1" ht="10" customHeight="1" x14ac:dyDescent="0.35">
      <c r="B366"/>
      <c r="F366" s="75"/>
      <c r="G366" s="76"/>
      <c r="H366" s="76"/>
      <c r="I366" s="76"/>
      <c r="J366" s="76"/>
      <c r="K366" s="76"/>
      <c r="L366" s="76"/>
      <c r="M366" s="76"/>
      <c r="N366" s="76"/>
      <c r="O366" s="77"/>
      <c r="P366" s="75"/>
      <c r="Q366" s="76"/>
      <c r="R366" s="76"/>
      <c r="S366" s="77"/>
      <c r="T366" s="75"/>
      <c r="U366" s="77"/>
      <c r="V366" s="75"/>
      <c r="W366" s="76"/>
      <c r="X366" s="77"/>
      <c r="AE366" s="28"/>
      <c r="AF366" s="28"/>
      <c r="AG366" s="28"/>
      <c r="AH366" s="28"/>
    </row>
    <row r="367" spans="2:34" s="7" customFormat="1" ht="10" customHeight="1" thickBot="1" x14ac:dyDescent="0.4">
      <c r="B367"/>
      <c r="F367" s="78" t="s">
        <v>13</v>
      </c>
      <c r="G367" s="79"/>
      <c r="H367" s="79"/>
      <c r="I367" s="79"/>
      <c r="J367" s="79"/>
      <c r="K367" s="79"/>
      <c r="L367" s="79"/>
      <c r="M367" s="79"/>
      <c r="N367" s="79"/>
      <c r="O367" s="80"/>
      <c r="P367" s="78" t="s">
        <v>13</v>
      </c>
      <c r="Q367" s="79"/>
      <c r="R367" s="79"/>
      <c r="S367" s="80"/>
      <c r="T367" s="78" t="s">
        <v>13</v>
      </c>
      <c r="U367" s="80"/>
      <c r="V367" s="78" t="s">
        <v>13</v>
      </c>
      <c r="W367" s="79"/>
      <c r="X367" s="80"/>
      <c r="AE367" s="28"/>
      <c r="AF367" s="28"/>
      <c r="AG367" s="28"/>
      <c r="AH367" s="28"/>
    </row>
    <row r="368" spans="2:34" s="7" customFormat="1" ht="10" customHeight="1" x14ac:dyDescent="0.35">
      <c r="B368"/>
      <c r="AE368" s="28"/>
      <c r="AF368" s="28"/>
      <c r="AG368" s="28"/>
      <c r="AH368" s="28"/>
    </row>
    <row r="369" spans="2:34" s="7" customFormat="1" ht="10" customHeight="1" thickBot="1" x14ac:dyDescent="0.4">
      <c r="B369"/>
      <c r="D369" s="25">
        <v>0.375</v>
      </c>
      <c r="E369" s="25">
        <v>0.38541666666666669</v>
      </c>
      <c r="F369" s="25">
        <v>0.39583333333333298</v>
      </c>
      <c r="G369" s="25">
        <v>0.40625</v>
      </c>
      <c r="H369" s="25">
        <v>0.41666666666666702</v>
      </c>
      <c r="I369" s="25">
        <v>0.4236111111111111</v>
      </c>
      <c r="J369" s="25">
        <v>0.43055555555555558</v>
      </c>
      <c r="K369" s="25">
        <v>0.4375</v>
      </c>
      <c r="L369" s="25">
        <v>0.44444444444444442</v>
      </c>
      <c r="M369" s="25">
        <v>0.45833333333333331</v>
      </c>
      <c r="N369" s="25">
        <v>0.47222222222222227</v>
      </c>
      <c r="O369" s="25">
        <v>0.4861111111111111</v>
      </c>
      <c r="P369" s="25">
        <v>0.5</v>
      </c>
      <c r="Q369" s="25">
        <v>0.51041666666666663</v>
      </c>
      <c r="R369" s="25">
        <v>0.52083333333333337</v>
      </c>
      <c r="S369" s="25">
        <v>0.53125</v>
      </c>
      <c r="T369" s="25">
        <v>0.54166666666666663</v>
      </c>
      <c r="U369" s="25">
        <v>0.55555555555555558</v>
      </c>
      <c r="V369" s="25">
        <v>0.56944444444444442</v>
      </c>
      <c r="W369" s="25">
        <v>0.58333333333333337</v>
      </c>
      <c r="X369" s="25">
        <v>0.59722222222222221</v>
      </c>
      <c r="Y369" s="25">
        <v>0.61111111111111105</v>
      </c>
      <c r="Z369" s="25">
        <v>0.625</v>
      </c>
      <c r="AA369" s="25">
        <v>0.63888888888888895</v>
      </c>
      <c r="AE369" s="28"/>
      <c r="AF369" s="28"/>
      <c r="AG369" s="28"/>
      <c r="AH369" s="28"/>
    </row>
    <row r="370" spans="2:34" s="7" customFormat="1" ht="10" customHeight="1" thickBot="1" x14ac:dyDescent="0.4">
      <c r="B370"/>
      <c r="D370" s="45" t="s">
        <v>159</v>
      </c>
      <c r="E370" s="47"/>
      <c r="F370" s="45" t="s">
        <v>204</v>
      </c>
      <c r="G370" s="47"/>
      <c r="H370" s="45" t="s">
        <v>78</v>
      </c>
      <c r="I370" s="47"/>
      <c r="J370" s="43" t="s">
        <v>109</v>
      </c>
      <c r="K370" s="46"/>
      <c r="L370" s="44"/>
      <c r="M370" s="43" t="s">
        <v>110</v>
      </c>
      <c r="N370" s="46"/>
      <c r="O370" s="44"/>
      <c r="P370" s="45" t="s">
        <v>112</v>
      </c>
      <c r="Q370" s="47"/>
      <c r="R370" s="45" t="s">
        <v>113</v>
      </c>
      <c r="S370" s="46"/>
      <c r="T370" s="43" t="s">
        <v>111</v>
      </c>
      <c r="U370" s="44"/>
      <c r="V370" s="43" t="s">
        <v>114</v>
      </c>
      <c r="W370" s="44"/>
      <c r="X370" s="43" t="s">
        <v>205</v>
      </c>
      <c r="Y370" s="44"/>
      <c r="Z370" s="26" t="s">
        <v>206</v>
      </c>
      <c r="AA370" s="27"/>
      <c r="AE370" s="28"/>
      <c r="AF370" s="28"/>
      <c r="AG370" s="28"/>
      <c r="AH370" s="28"/>
    </row>
    <row r="371" spans="2:34" s="7" customFormat="1" ht="10" customHeight="1" x14ac:dyDescent="0.35">
      <c r="B371"/>
      <c r="C371" s="7" t="s">
        <v>99</v>
      </c>
      <c r="F371" s="72" t="s">
        <v>97</v>
      </c>
      <c r="G371" s="74"/>
      <c r="P371" s="72" t="s">
        <v>13</v>
      </c>
      <c r="Q371" s="73"/>
      <c r="R371" s="73"/>
      <c r="S371" s="74"/>
      <c r="T371" s="72" t="s">
        <v>7</v>
      </c>
      <c r="U371" s="74"/>
      <c r="V371" s="72" t="s">
        <v>7</v>
      </c>
      <c r="W371" s="73"/>
      <c r="X371" s="73"/>
      <c r="Y371" s="73"/>
      <c r="Z371" s="74"/>
      <c r="AB371" s="7">
        <v>3.8400001525878906</v>
      </c>
      <c r="AE371" s="28"/>
      <c r="AF371" s="28"/>
      <c r="AG371" s="28"/>
      <c r="AH371" s="28"/>
    </row>
    <row r="372" spans="2:34" s="7" customFormat="1" ht="10" customHeight="1" x14ac:dyDescent="0.35">
      <c r="B372"/>
      <c r="F372" s="75" t="s">
        <v>141</v>
      </c>
      <c r="G372" s="77"/>
      <c r="P372" s="75" t="s">
        <v>189</v>
      </c>
      <c r="Q372" s="76"/>
      <c r="R372" s="76"/>
      <c r="S372" s="77"/>
      <c r="T372" s="75" t="s">
        <v>143</v>
      </c>
      <c r="U372" s="77"/>
      <c r="V372" s="75" t="s">
        <v>143</v>
      </c>
      <c r="W372" s="76"/>
      <c r="X372" s="76"/>
      <c r="Y372" s="76"/>
      <c r="Z372" s="77"/>
      <c r="AE372" s="28"/>
      <c r="AF372" s="28"/>
      <c r="AG372" s="28"/>
      <c r="AH372" s="28"/>
    </row>
    <row r="373" spans="2:34" s="7" customFormat="1" ht="10" customHeight="1" x14ac:dyDescent="0.35">
      <c r="B373"/>
      <c r="F373" s="75" t="s">
        <v>83</v>
      </c>
      <c r="G373" s="77"/>
      <c r="P373" s="75" t="s">
        <v>100</v>
      </c>
      <c r="Q373" s="76"/>
      <c r="R373" s="76"/>
      <c r="S373" s="77"/>
      <c r="T373" s="75" t="s">
        <v>73</v>
      </c>
      <c r="U373" s="77"/>
      <c r="V373" s="75" t="s">
        <v>75</v>
      </c>
      <c r="W373" s="76"/>
      <c r="X373" s="76"/>
      <c r="Y373" s="76"/>
      <c r="Z373" s="77"/>
      <c r="AE373" s="28"/>
      <c r="AF373" s="28"/>
      <c r="AG373" s="28"/>
      <c r="AH373" s="28"/>
    </row>
    <row r="374" spans="2:34" s="7" customFormat="1" ht="10" customHeight="1" x14ac:dyDescent="0.35">
      <c r="B374"/>
      <c r="F374" s="75" t="s">
        <v>161</v>
      </c>
      <c r="G374" s="77"/>
      <c r="P374" s="75" t="s">
        <v>99</v>
      </c>
      <c r="Q374" s="76"/>
      <c r="R374" s="76"/>
      <c r="S374" s="77"/>
      <c r="T374" s="75" t="s">
        <v>80</v>
      </c>
      <c r="U374" s="77"/>
      <c r="V374" s="75" t="s">
        <v>80</v>
      </c>
      <c r="W374" s="76"/>
      <c r="X374" s="76"/>
      <c r="Y374" s="76"/>
      <c r="Z374" s="77"/>
      <c r="AE374" s="28"/>
      <c r="AF374" s="28"/>
      <c r="AG374" s="28"/>
      <c r="AH374" s="28"/>
    </row>
    <row r="375" spans="2:34" s="7" customFormat="1" ht="10" customHeight="1" x14ac:dyDescent="0.35">
      <c r="B375"/>
      <c r="F375" s="75" t="s">
        <v>69</v>
      </c>
      <c r="G375" s="77"/>
      <c r="P375" s="75"/>
      <c r="Q375" s="76"/>
      <c r="R375" s="76"/>
      <c r="S375" s="77"/>
      <c r="T375" s="75" t="s">
        <v>99</v>
      </c>
      <c r="U375" s="77"/>
      <c r="V375" s="75" t="s">
        <v>99</v>
      </c>
      <c r="W375" s="76"/>
      <c r="X375" s="76"/>
      <c r="Y375" s="76"/>
      <c r="Z375" s="77"/>
      <c r="AE375" s="28"/>
      <c r="AF375" s="28"/>
      <c r="AG375" s="28"/>
      <c r="AH375" s="28"/>
    </row>
    <row r="376" spans="2:34" s="7" customFormat="1" ht="10" customHeight="1" thickBot="1" x14ac:dyDescent="0.4">
      <c r="B376"/>
      <c r="F376" s="75" t="s">
        <v>99</v>
      </c>
      <c r="G376" s="77"/>
      <c r="P376" s="78" t="s">
        <v>13</v>
      </c>
      <c r="Q376" s="79"/>
      <c r="R376" s="79"/>
      <c r="S376" s="80"/>
      <c r="T376" s="75"/>
      <c r="U376" s="77"/>
      <c r="V376" s="75"/>
      <c r="W376" s="76"/>
      <c r="X376" s="76"/>
      <c r="Y376" s="76"/>
      <c r="Z376" s="77"/>
      <c r="AE376" s="28"/>
      <c r="AF376" s="28"/>
      <c r="AG376" s="28"/>
      <c r="AH376" s="28"/>
    </row>
    <row r="377" spans="2:34" s="7" customFormat="1" ht="10" customHeight="1" x14ac:dyDescent="0.35">
      <c r="B377"/>
      <c r="F377" s="75" t="s">
        <v>71</v>
      </c>
      <c r="G377" s="77"/>
      <c r="T377" s="75" t="s">
        <v>10</v>
      </c>
      <c r="U377" s="77"/>
      <c r="V377" s="75" t="s">
        <v>6</v>
      </c>
      <c r="W377" s="76"/>
      <c r="X377" s="76"/>
      <c r="Y377" s="76"/>
      <c r="Z377" s="77"/>
      <c r="AE377" s="28"/>
      <c r="AF377" s="28"/>
      <c r="AG377" s="28"/>
      <c r="AH377" s="28"/>
    </row>
    <row r="378" spans="2:34" s="7" customFormat="1" ht="10" customHeight="1" x14ac:dyDescent="0.35">
      <c r="B378"/>
      <c r="F378" s="75"/>
      <c r="G378" s="77"/>
      <c r="T378" s="75" t="s">
        <v>6</v>
      </c>
      <c r="U378" s="77"/>
      <c r="V378" s="75" t="s">
        <v>9</v>
      </c>
      <c r="W378" s="76"/>
      <c r="X378" s="76"/>
      <c r="Y378" s="76"/>
      <c r="Z378" s="77"/>
      <c r="AE378" s="28"/>
      <c r="AF378" s="28"/>
      <c r="AG378" s="28"/>
      <c r="AH378" s="28"/>
    </row>
    <row r="379" spans="2:34" s="7" customFormat="1" ht="10" customHeight="1" thickBot="1" x14ac:dyDescent="0.4">
      <c r="B379"/>
      <c r="F379" s="75" t="s">
        <v>148</v>
      </c>
      <c r="G379" s="77"/>
      <c r="T379" s="75" t="s">
        <v>9</v>
      </c>
      <c r="U379" s="77"/>
      <c r="V379" s="78" t="s">
        <v>158</v>
      </c>
      <c r="W379" s="79"/>
      <c r="X379" s="79"/>
      <c r="Y379" s="79"/>
      <c r="Z379" s="80"/>
      <c r="AE379" s="28"/>
      <c r="AF379" s="28"/>
      <c r="AG379" s="28"/>
      <c r="AH379" s="28"/>
    </row>
    <row r="380" spans="2:34" s="7" customFormat="1" ht="10" customHeight="1" thickBot="1" x14ac:dyDescent="0.4">
      <c r="B380"/>
      <c r="F380" s="75" t="s">
        <v>146</v>
      </c>
      <c r="G380" s="77"/>
      <c r="T380" s="78" t="s">
        <v>158</v>
      </c>
      <c r="U380" s="80"/>
      <c r="AE380" s="28"/>
      <c r="AF380" s="28"/>
      <c r="AG380" s="28"/>
      <c r="AH380" s="28"/>
    </row>
    <row r="381" spans="2:34" s="7" customFormat="1" ht="10" customHeight="1" x14ac:dyDescent="0.35">
      <c r="B381"/>
      <c r="F381" s="75" t="s">
        <v>150</v>
      </c>
      <c r="G381" s="77"/>
      <c r="AE381" s="28"/>
      <c r="AF381" s="28"/>
      <c r="AG381" s="28"/>
      <c r="AH381" s="28"/>
    </row>
    <row r="382" spans="2:34" s="7" customFormat="1" ht="10" customHeight="1" x14ac:dyDescent="0.35">
      <c r="B382"/>
      <c r="F382" s="75" t="s">
        <v>3</v>
      </c>
      <c r="G382" s="77"/>
      <c r="AE382" s="28"/>
      <c r="AF382" s="28"/>
      <c r="AG382" s="28"/>
      <c r="AH382" s="28"/>
    </row>
    <row r="383" spans="2:34" s="7" customFormat="1" ht="10" customHeight="1" x14ac:dyDescent="0.35">
      <c r="B383"/>
      <c r="F383" s="75" t="s">
        <v>157</v>
      </c>
      <c r="G383" s="77"/>
      <c r="AE383" s="28"/>
      <c r="AF383" s="28"/>
      <c r="AG383" s="28"/>
      <c r="AH383" s="28"/>
    </row>
    <row r="384" spans="2:34" s="7" customFormat="1" ht="10" customHeight="1" x14ac:dyDescent="0.35">
      <c r="B384"/>
      <c r="F384" s="75" t="s">
        <v>8</v>
      </c>
      <c r="G384" s="77"/>
      <c r="AE384" s="28"/>
      <c r="AF384" s="28"/>
      <c r="AG384" s="28"/>
      <c r="AH384" s="28"/>
    </row>
    <row r="385" spans="2:34" s="7" customFormat="1" ht="10" customHeight="1" thickBot="1" x14ac:dyDescent="0.4">
      <c r="B385"/>
      <c r="F385" s="78" t="s">
        <v>11</v>
      </c>
      <c r="G385" s="80"/>
      <c r="AE385" s="28"/>
      <c r="AF385" s="28"/>
      <c r="AG385" s="28"/>
      <c r="AH385" s="28"/>
    </row>
    <row r="386" spans="2:34" s="7" customFormat="1" ht="10" customHeight="1" x14ac:dyDescent="0.35">
      <c r="B386"/>
      <c r="AE386" s="28"/>
      <c r="AF386" s="28"/>
      <c r="AG386" s="28"/>
      <c r="AH386" s="28"/>
    </row>
    <row r="387" spans="2:34" s="7" customFormat="1" ht="10" customHeight="1" thickBot="1" x14ac:dyDescent="0.4">
      <c r="B387"/>
      <c r="D387" s="25">
        <v>0.375</v>
      </c>
      <c r="E387" s="25">
        <v>0.38541666666666669</v>
      </c>
      <c r="F387" s="25">
        <v>0.39583333333333298</v>
      </c>
      <c r="G387" s="25">
        <v>0.40625</v>
      </c>
      <c r="H387" s="25">
        <v>0.41666666666666702</v>
      </c>
      <c r="I387" s="25">
        <v>0.4236111111111111</v>
      </c>
      <c r="J387" s="25">
        <v>0.43055555555555558</v>
      </c>
      <c r="K387" s="25">
        <v>0.4375</v>
      </c>
      <c r="L387" s="25">
        <v>0.44444444444444442</v>
      </c>
      <c r="M387" s="25">
        <v>0.45833333333333331</v>
      </c>
      <c r="N387" s="25">
        <v>0.47222222222222227</v>
      </c>
      <c r="O387" s="25">
        <v>0.4861111111111111</v>
      </c>
      <c r="P387" s="25">
        <v>0.5</v>
      </c>
      <c r="Q387" s="25">
        <v>0.51041666666666663</v>
      </c>
      <c r="R387" s="25">
        <v>0.52083333333333337</v>
      </c>
      <c r="S387" s="25">
        <v>0.53125</v>
      </c>
      <c r="T387" s="25">
        <v>0.54166666666666663</v>
      </c>
      <c r="U387" s="25">
        <v>0.55555555555555558</v>
      </c>
      <c r="V387" s="25">
        <v>0.56944444444444442</v>
      </c>
      <c r="W387" s="25">
        <v>0.58333333333333337</v>
      </c>
      <c r="X387" s="25">
        <v>0.59722222222222221</v>
      </c>
      <c r="Y387" s="25">
        <v>0.61111111111111105</v>
      </c>
      <c r="Z387" s="25">
        <v>0.625</v>
      </c>
      <c r="AA387" s="25">
        <v>0.63888888888888895</v>
      </c>
      <c r="AE387" s="28"/>
      <c r="AF387" s="28"/>
      <c r="AG387" s="28"/>
      <c r="AH387" s="28"/>
    </row>
    <row r="388" spans="2:34" s="7" customFormat="1" ht="10" customHeight="1" thickBot="1" x14ac:dyDescent="0.4">
      <c r="B388"/>
      <c r="D388" s="45" t="s">
        <v>159</v>
      </c>
      <c r="E388" s="47"/>
      <c r="F388" s="45" t="s">
        <v>204</v>
      </c>
      <c r="G388" s="47"/>
      <c r="H388" s="45" t="s">
        <v>78</v>
      </c>
      <c r="I388" s="47"/>
      <c r="J388" s="43" t="s">
        <v>109</v>
      </c>
      <c r="K388" s="46"/>
      <c r="L388" s="44"/>
      <c r="M388" s="43" t="s">
        <v>110</v>
      </c>
      <c r="N388" s="46"/>
      <c r="O388" s="44"/>
      <c r="P388" s="45" t="s">
        <v>112</v>
      </c>
      <c r="Q388" s="47"/>
      <c r="R388" s="45" t="s">
        <v>113</v>
      </c>
      <c r="S388" s="46"/>
      <c r="T388" s="43" t="s">
        <v>111</v>
      </c>
      <c r="U388" s="44"/>
      <c r="V388" s="43" t="s">
        <v>114</v>
      </c>
      <c r="W388" s="44"/>
      <c r="X388" s="43" t="s">
        <v>205</v>
      </c>
      <c r="Y388" s="44"/>
      <c r="Z388" s="26" t="s">
        <v>206</v>
      </c>
      <c r="AA388" s="27"/>
      <c r="AE388" s="28"/>
      <c r="AF388" s="28"/>
      <c r="AG388" s="28"/>
      <c r="AH388" s="28"/>
    </row>
    <row r="389" spans="2:34" s="7" customFormat="1" ht="10" customHeight="1" x14ac:dyDescent="0.35">
      <c r="B389"/>
      <c r="C389" s="7" t="s">
        <v>125</v>
      </c>
      <c r="AB389" s="7">
        <v>0</v>
      </c>
      <c r="AE389" s="28"/>
      <c r="AF389" s="28"/>
      <c r="AG389" s="28"/>
      <c r="AH389" s="28"/>
    </row>
    <row r="390" spans="2:34" s="7" customFormat="1" ht="10" customHeight="1" thickBot="1" x14ac:dyDescent="0.4">
      <c r="B390"/>
      <c r="D390" s="25">
        <v>0.375</v>
      </c>
      <c r="E390" s="25">
        <v>0.38541666666666669</v>
      </c>
      <c r="F390" s="25">
        <v>0.39583333333333298</v>
      </c>
      <c r="G390" s="25">
        <v>0.40625</v>
      </c>
      <c r="H390" s="25">
        <v>0.41666666666666702</v>
      </c>
      <c r="I390" s="25">
        <v>0.4236111111111111</v>
      </c>
      <c r="J390" s="25">
        <v>0.43055555555555558</v>
      </c>
      <c r="K390" s="25">
        <v>0.4375</v>
      </c>
      <c r="L390" s="25">
        <v>0.44444444444444442</v>
      </c>
      <c r="M390" s="25">
        <v>0.45833333333333331</v>
      </c>
      <c r="N390" s="25">
        <v>0.47222222222222227</v>
      </c>
      <c r="O390" s="25">
        <v>0.4861111111111111</v>
      </c>
      <c r="P390" s="25">
        <v>0.5</v>
      </c>
      <c r="Q390" s="25">
        <v>0.51041666666666663</v>
      </c>
      <c r="R390" s="25">
        <v>0.52083333333333337</v>
      </c>
      <c r="S390" s="25">
        <v>0.53125</v>
      </c>
      <c r="T390" s="25">
        <v>0.54166666666666663</v>
      </c>
      <c r="U390" s="25">
        <v>0.55555555555555558</v>
      </c>
      <c r="V390" s="25">
        <v>0.56944444444444442</v>
      </c>
      <c r="W390" s="25">
        <v>0.58333333333333337</v>
      </c>
      <c r="X390" s="25">
        <v>0.59722222222222221</v>
      </c>
      <c r="Y390" s="25">
        <v>0.61111111111111105</v>
      </c>
      <c r="Z390" s="25">
        <v>0.625</v>
      </c>
      <c r="AA390" s="25">
        <v>0.63888888888888895</v>
      </c>
      <c r="AE390" s="28"/>
      <c r="AF390" s="28"/>
      <c r="AG390" s="28"/>
      <c r="AH390" s="28"/>
    </row>
    <row r="391" spans="2:34" s="7" customFormat="1" ht="10" customHeight="1" thickBot="1" x14ac:dyDescent="0.4">
      <c r="B391"/>
      <c r="D391" s="45" t="s">
        <v>159</v>
      </c>
      <c r="E391" s="47"/>
      <c r="F391" s="45" t="s">
        <v>204</v>
      </c>
      <c r="G391" s="47"/>
      <c r="H391" s="45" t="s">
        <v>78</v>
      </c>
      <c r="I391" s="47"/>
      <c r="J391" s="43" t="s">
        <v>109</v>
      </c>
      <c r="K391" s="46"/>
      <c r="L391" s="44"/>
      <c r="M391" s="43" t="s">
        <v>110</v>
      </c>
      <c r="N391" s="46"/>
      <c r="O391" s="44"/>
      <c r="P391" s="45" t="s">
        <v>112</v>
      </c>
      <c r="Q391" s="47"/>
      <c r="R391" s="45" t="s">
        <v>113</v>
      </c>
      <c r="S391" s="46"/>
      <c r="T391" s="43" t="s">
        <v>111</v>
      </c>
      <c r="U391" s="44"/>
      <c r="V391" s="43" t="s">
        <v>114</v>
      </c>
      <c r="W391" s="44"/>
      <c r="X391" s="43" t="s">
        <v>205</v>
      </c>
      <c r="Y391" s="44"/>
      <c r="Z391" s="26" t="s">
        <v>206</v>
      </c>
      <c r="AA391" s="27"/>
      <c r="AE391" s="28"/>
      <c r="AF391" s="28"/>
      <c r="AG391" s="28"/>
      <c r="AH391" s="28"/>
    </row>
    <row r="392" spans="2:34" s="7" customFormat="1" ht="10" customHeight="1" x14ac:dyDescent="0.35">
      <c r="B392"/>
      <c r="C392" s="7" t="s">
        <v>161</v>
      </c>
      <c r="D392" s="72" t="s">
        <v>164</v>
      </c>
      <c r="E392" s="74"/>
      <c r="F392" s="72" t="s">
        <v>97</v>
      </c>
      <c r="G392" s="84"/>
      <c r="J392" s="81" t="s">
        <v>5</v>
      </c>
      <c r="K392" s="73"/>
      <c r="L392" s="84"/>
      <c r="M392" s="81" t="s">
        <v>5</v>
      </c>
      <c r="N392" s="73"/>
      <c r="O392" s="84"/>
      <c r="R392" s="81" t="s">
        <v>169</v>
      </c>
      <c r="S392" s="84"/>
      <c r="T392" s="81" t="s">
        <v>5</v>
      </c>
      <c r="U392" s="73"/>
      <c r="V392" s="73"/>
      <c r="W392" s="73"/>
      <c r="X392" s="73"/>
      <c r="Y392" s="73"/>
      <c r="Z392" s="84"/>
      <c r="AB392" s="7">
        <v>5.5</v>
      </c>
      <c r="AE392" s="28"/>
      <c r="AF392" s="28"/>
      <c r="AG392" s="28"/>
      <c r="AH392" s="28"/>
    </row>
    <row r="393" spans="2:34" s="7" customFormat="1" ht="10" customHeight="1" x14ac:dyDescent="0.35">
      <c r="B393"/>
      <c r="D393" s="75" t="s">
        <v>142</v>
      </c>
      <c r="E393" s="77"/>
      <c r="F393" s="75" t="s">
        <v>141</v>
      </c>
      <c r="G393" s="85"/>
      <c r="J393" s="82" t="s">
        <v>142</v>
      </c>
      <c r="K393" s="76"/>
      <c r="L393" s="85"/>
      <c r="M393" s="82" t="s">
        <v>142</v>
      </c>
      <c r="N393" s="76"/>
      <c r="O393" s="85"/>
      <c r="R393" s="82" t="s">
        <v>188</v>
      </c>
      <c r="S393" s="85"/>
      <c r="T393" s="82" t="s">
        <v>142</v>
      </c>
      <c r="U393" s="76"/>
      <c r="V393" s="76"/>
      <c r="W393" s="76"/>
      <c r="X393" s="76"/>
      <c r="Y393" s="76"/>
      <c r="Z393" s="85"/>
      <c r="AE393" s="28"/>
      <c r="AF393" s="28"/>
      <c r="AG393" s="28"/>
      <c r="AH393" s="28"/>
    </row>
    <row r="394" spans="2:34" s="7" customFormat="1" ht="10" customHeight="1" x14ac:dyDescent="0.35">
      <c r="B394"/>
      <c r="D394" s="75" t="s">
        <v>72</v>
      </c>
      <c r="E394" s="77"/>
      <c r="F394" s="75" t="s">
        <v>83</v>
      </c>
      <c r="G394" s="85"/>
      <c r="J394" s="82" t="s">
        <v>83</v>
      </c>
      <c r="K394" s="76"/>
      <c r="L394" s="85"/>
      <c r="M394" s="82" t="s">
        <v>83</v>
      </c>
      <c r="N394" s="76"/>
      <c r="O394" s="85"/>
      <c r="R394" s="82" t="s">
        <v>73</v>
      </c>
      <c r="S394" s="85"/>
      <c r="T394" s="82" t="s">
        <v>83</v>
      </c>
      <c r="U394" s="76"/>
      <c r="V394" s="76"/>
      <c r="W394" s="76"/>
      <c r="X394" s="76"/>
      <c r="Y394" s="76"/>
      <c r="Z394" s="85"/>
      <c r="AE394" s="28"/>
      <c r="AF394" s="28"/>
      <c r="AG394" s="28"/>
      <c r="AH394" s="28"/>
    </row>
    <row r="395" spans="2:34" s="7" customFormat="1" ht="10" customHeight="1" x14ac:dyDescent="0.35">
      <c r="B395"/>
      <c r="D395" s="75" t="s">
        <v>161</v>
      </c>
      <c r="E395" s="77"/>
      <c r="F395" s="75" t="s">
        <v>161</v>
      </c>
      <c r="G395" s="85"/>
      <c r="J395" s="82" t="s">
        <v>218</v>
      </c>
      <c r="K395" s="76"/>
      <c r="L395" s="85"/>
      <c r="M395" s="82" t="s">
        <v>72</v>
      </c>
      <c r="N395" s="76"/>
      <c r="O395" s="85"/>
      <c r="R395" s="82" t="s">
        <v>83</v>
      </c>
      <c r="S395" s="85"/>
      <c r="T395" s="82" t="s">
        <v>72</v>
      </c>
      <c r="U395" s="76"/>
      <c r="V395" s="76"/>
      <c r="W395" s="76"/>
      <c r="X395" s="76"/>
      <c r="Y395" s="76"/>
      <c r="Z395" s="85"/>
      <c r="AE395" s="28"/>
      <c r="AF395" s="28"/>
      <c r="AG395" s="28"/>
      <c r="AH395" s="28"/>
    </row>
    <row r="396" spans="2:34" s="7" customFormat="1" ht="10" customHeight="1" x14ac:dyDescent="0.35">
      <c r="B396"/>
      <c r="D396" s="75"/>
      <c r="E396" s="77"/>
      <c r="F396" s="75" t="s">
        <v>69</v>
      </c>
      <c r="G396" s="85"/>
      <c r="J396" s="82" t="s">
        <v>72</v>
      </c>
      <c r="K396" s="76"/>
      <c r="L396" s="85"/>
      <c r="M396" s="82" t="s">
        <v>161</v>
      </c>
      <c r="N396" s="76"/>
      <c r="O396" s="85"/>
      <c r="R396" s="82" t="s">
        <v>77</v>
      </c>
      <c r="S396" s="85"/>
      <c r="T396" s="82" t="s">
        <v>161</v>
      </c>
      <c r="U396" s="76"/>
      <c r="V396" s="76"/>
      <c r="W396" s="76"/>
      <c r="X396" s="76"/>
      <c r="Y396" s="76"/>
      <c r="Z396" s="85"/>
      <c r="AE396" s="28"/>
      <c r="AF396" s="28"/>
      <c r="AG396" s="28"/>
      <c r="AH396" s="28"/>
    </row>
    <row r="397" spans="2:34" s="7" customFormat="1" ht="10" customHeight="1" x14ac:dyDescent="0.35">
      <c r="B397"/>
      <c r="D397" s="75" t="s">
        <v>148</v>
      </c>
      <c r="E397" s="77"/>
      <c r="F397" s="75" t="s">
        <v>99</v>
      </c>
      <c r="G397" s="85"/>
      <c r="J397" s="82" t="s">
        <v>161</v>
      </c>
      <c r="K397" s="76"/>
      <c r="L397" s="85"/>
      <c r="M397" s="82"/>
      <c r="N397" s="76"/>
      <c r="O397" s="85"/>
      <c r="R397" s="82" t="s">
        <v>161</v>
      </c>
      <c r="S397" s="85"/>
      <c r="T397" s="82"/>
      <c r="U397" s="76"/>
      <c r="V397" s="76"/>
      <c r="W397" s="76"/>
      <c r="X397" s="76"/>
      <c r="Y397" s="76"/>
      <c r="Z397" s="85"/>
      <c r="AE397" s="28"/>
      <c r="AF397" s="28"/>
      <c r="AG397" s="28"/>
      <c r="AH397" s="28"/>
    </row>
    <row r="398" spans="2:34" s="7" customFormat="1" ht="10" customHeight="1" x14ac:dyDescent="0.35">
      <c r="B398"/>
      <c r="D398" s="75" t="s">
        <v>2</v>
      </c>
      <c r="E398" s="77"/>
      <c r="F398" s="75" t="s">
        <v>71</v>
      </c>
      <c r="G398" s="85"/>
      <c r="J398" s="82"/>
      <c r="K398" s="76"/>
      <c r="L398" s="85"/>
      <c r="M398" s="82" t="s">
        <v>148</v>
      </c>
      <c r="N398" s="76"/>
      <c r="O398" s="85"/>
      <c r="R398" s="82" t="s">
        <v>71</v>
      </c>
      <c r="S398" s="85"/>
      <c r="T398" s="82" t="s">
        <v>148</v>
      </c>
      <c r="U398" s="76"/>
      <c r="V398" s="76"/>
      <c r="W398" s="76"/>
      <c r="X398" s="76"/>
      <c r="Y398" s="76"/>
      <c r="Z398" s="85"/>
      <c r="AE398" s="28"/>
      <c r="AF398" s="28"/>
      <c r="AG398" s="28"/>
      <c r="AH398" s="28"/>
    </row>
    <row r="399" spans="2:34" s="7" customFormat="1" ht="10" customHeight="1" x14ac:dyDescent="0.35">
      <c r="B399"/>
      <c r="D399" s="75" t="s">
        <v>146</v>
      </c>
      <c r="E399" s="77"/>
      <c r="F399" s="75"/>
      <c r="G399" s="85"/>
      <c r="J399" s="82" t="s">
        <v>148</v>
      </c>
      <c r="K399" s="76"/>
      <c r="L399" s="85"/>
      <c r="M399" s="82" t="s">
        <v>2</v>
      </c>
      <c r="N399" s="76"/>
      <c r="O399" s="85"/>
      <c r="R399" s="82"/>
      <c r="S399" s="85"/>
      <c r="T399" s="82" t="s">
        <v>2</v>
      </c>
      <c r="U399" s="76"/>
      <c r="V399" s="76"/>
      <c r="W399" s="76"/>
      <c r="X399" s="76"/>
      <c r="Y399" s="76"/>
      <c r="Z399" s="85"/>
      <c r="AE399" s="28"/>
      <c r="AF399" s="28"/>
      <c r="AG399" s="28"/>
      <c r="AH399" s="28"/>
    </row>
    <row r="400" spans="2:34" s="7" customFormat="1" ht="10" customHeight="1" thickBot="1" x14ac:dyDescent="0.4">
      <c r="B400"/>
      <c r="D400" s="78" t="s">
        <v>150</v>
      </c>
      <c r="E400" s="80"/>
      <c r="F400" s="75" t="s">
        <v>148</v>
      </c>
      <c r="G400" s="85"/>
      <c r="J400" s="82" t="s">
        <v>2</v>
      </c>
      <c r="K400" s="76"/>
      <c r="L400" s="85"/>
      <c r="M400" s="82" t="s">
        <v>146</v>
      </c>
      <c r="N400" s="76"/>
      <c r="O400" s="85"/>
      <c r="R400" s="82" t="s">
        <v>148</v>
      </c>
      <c r="S400" s="85"/>
      <c r="T400" s="82" t="s">
        <v>146</v>
      </c>
      <c r="U400" s="76"/>
      <c r="V400" s="76"/>
      <c r="W400" s="76"/>
      <c r="X400" s="76"/>
      <c r="Y400" s="76"/>
      <c r="Z400" s="85"/>
      <c r="AE400" s="28"/>
      <c r="AF400" s="28"/>
      <c r="AG400" s="28"/>
      <c r="AH400" s="28"/>
    </row>
    <row r="401" spans="3:34" ht="15" thickBot="1" x14ac:dyDescent="0.4">
      <c r="C401" s="23"/>
      <c r="D401" s="23"/>
      <c r="E401" s="23"/>
      <c r="F401" s="38" t="s">
        <v>146</v>
      </c>
      <c r="G401" s="68"/>
      <c r="H401" s="23"/>
      <c r="I401" s="23"/>
      <c r="J401" s="70" t="s">
        <v>146</v>
      </c>
      <c r="K401" s="39"/>
      <c r="L401" s="68"/>
      <c r="M401" s="71" t="s">
        <v>150</v>
      </c>
      <c r="N401" s="41"/>
      <c r="O401" s="69"/>
      <c r="P401" s="23"/>
      <c r="Q401" s="23"/>
      <c r="R401" s="70" t="s">
        <v>2</v>
      </c>
      <c r="S401" s="68"/>
      <c r="T401" s="71" t="s">
        <v>150</v>
      </c>
      <c r="U401" s="41"/>
      <c r="V401" s="41"/>
      <c r="W401" s="41"/>
      <c r="X401" s="41"/>
      <c r="Y401" s="41"/>
      <c r="Z401" s="69"/>
      <c r="AA401" s="23"/>
      <c r="AB401" s="23"/>
      <c r="AC401" s="23"/>
      <c r="AD401" s="23"/>
      <c r="AE401" s="23"/>
      <c r="AF401" s="23"/>
      <c r="AG401" s="23"/>
      <c r="AH401" s="23"/>
    </row>
    <row r="402" spans="3:34" ht="15" thickBot="1" x14ac:dyDescent="0.4">
      <c r="C402" s="23"/>
      <c r="D402" s="23"/>
      <c r="E402" s="23"/>
      <c r="F402" s="38" t="s">
        <v>150</v>
      </c>
      <c r="G402" s="68"/>
      <c r="H402" s="23"/>
      <c r="I402" s="23"/>
      <c r="J402" s="71" t="s">
        <v>150</v>
      </c>
      <c r="K402" s="41"/>
      <c r="L402" s="69"/>
      <c r="M402" s="41"/>
      <c r="N402" s="41"/>
      <c r="O402" s="42"/>
      <c r="P402" s="23"/>
      <c r="Q402" s="23"/>
      <c r="R402" s="70" t="s">
        <v>146</v>
      </c>
      <c r="S402" s="68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</row>
    <row r="403" spans="3:34" x14ac:dyDescent="0.35">
      <c r="C403" s="23"/>
      <c r="D403" s="23"/>
      <c r="E403" s="23"/>
      <c r="F403" s="38" t="s">
        <v>3</v>
      </c>
      <c r="G403" s="68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70" t="s">
        <v>150</v>
      </c>
      <c r="S403" s="68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</row>
    <row r="404" spans="3:34" x14ac:dyDescent="0.35">
      <c r="C404" s="23"/>
      <c r="D404" s="23"/>
      <c r="E404" s="23"/>
      <c r="F404" s="38" t="s">
        <v>157</v>
      </c>
      <c r="G404" s="68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70" t="s">
        <v>3</v>
      </c>
      <c r="S404" s="68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</row>
    <row r="405" spans="3:34" x14ac:dyDescent="0.35">
      <c r="C405" s="23"/>
      <c r="D405" s="23"/>
      <c r="E405" s="23"/>
      <c r="F405" s="38" t="s">
        <v>8</v>
      </c>
      <c r="G405" s="68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70" t="s">
        <v>4</v>
      </c>
      <c r="S405" s="68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</row>
    <row r="406" spans="3:34" ht="15" thickBot="1" x14ac:dyDescent="0.4">
      <c r="C406" s="23"/>
      <c r="D406" s="23"/>
      <c r="E406" s="23"/>
      <c r="F406" s="40" t="s">
        <v>11</v>
      </c>
      <c r="G406" s="69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70" t="s">
        <v>1</v>
      </c>
      <c r="S406" s="68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</row>
    <row r="407" spans="3:34" x14ac:dyDescent="0.35"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70" t="s">
        <v>147</v>
      </c>
      <c r="S407" s="68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</row>
    <row r="408" spans="3:34" x14ac:dyDescent="0.35"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70" t="s">
        <v>10</v>
      </c>
      <c r="S408" s="68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</row>
    <row r="409" spans="3:34" x14ac:dyDescent="0.35"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70" t="s">
        <v>6</v>
      </c>
      <c r="S409" s="68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</row>
    <row r="410" spans="3:34" x14ac:dyDescent="0.35"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70" t="s">
        <v>8</v>
      </c>
      <c r="S410" s="68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</row>
    <row r="411" spans="3:34" x14ac:dyDescent="0.35"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70" t="s">
        <v>9</v>
      </c>
      <c r="S411" s="68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</row>
    <row r="412" spans="3:34" ht="15" thickBot="1" x14ac:dyDescent="0.4"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71" t="s">
        <v>158</v>
      </c>
      <c r="S412" s="69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</row>
    <row r="413" spans="3:34" x14ac:dyDescent="0.35"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</row>
    <row r="414" spans="3:34" ht="15" thickBot="1" x14ac:dyDescent="0.4">
      <c r="C414" s="23"/>
      <c r="D414" s="25">
        <v>0.375</v>
      </c>
      <c r="E414" s="25">
        <v>0.38541666666666669</v>
      </c>
      <c r="F414" s="25">
        <v>0.39583333333333298</v>
      </c>
      <c r="G414" s="25">
        <v>0.40625</v>
      </c>
      <c r="H414" s="25">
        <v>0.41666666666666702</v>
      </c>
      <c r="I414" s="25">
        <v>0.4236111111111111</v>
      </c>
      <c r="J414" s="25">
        <v>0.43055555555555558</v>
      </c>
      <c r="K414" s="25">
        <v>0.4375</v>
      </c>
      <c r="L414" s="25">
        <v>0.44444444444444442</v>
      </c>
      <c r="M414" s="25">
        <v>0.45833333333333331</v>
      </c>
      <c r="N414" s="25">
        <v>0.47222222222222227</v>
      </c>
      <c r="O414" s="25">
        <v>0.4861111111111111</v>
      </c>
      <c r="P414" s="25">
        <v>0.5</v>
      </c>
      <c r="Q414" s="25">
        <v>0.51041666666666663</v>
      </c>
      <c r="R414" s="25">
        <v>0.52083333333333337</v>
      </c>
      <c r="S414" s="25">
        <v>0.53125</v>
      </c>
      <c r="T414" s="25">
        <v>0.54166666666666663</v>
      </c>
      <c r="U414" s="25">
        <v>0.55555555555555558</v>
      </c>
      <c r="V414" s="25">
        <v>0.56944444444444442</v>
      </c>
      <c r="W414" s="25">
        <v>0.58333333333333337</v>
      </c>
      <c r="X414" s="25">
        <v>0.59722222222222221</v>
      </c>
      <c r="Y414" s="25">
        <v>0.61111111111111105</v>
      </c>
      <c r="Z414" s="25">
        <v>0.625</v>
      </c>
      <c r="AA414" s="25">
        <v>0.63888888888888895</v>
      </c>
      <c r="AB414" s="23"/>
      <c r="AC414" s="23"/>
      <c r="AD414" s="23"/>
      <c r="AE414" s="23"/>
      <c r="AF414" s="23"/>
      <c r="AG414" s="23"/>
      <c r="AH414" s="23"/>
    </row>
    <row r="415" spans="3:34" ht="15" thickBot="1" x14ac:dyDescent="0.4">
      <c r="C415" s="23"/>
      <c r="D415" s="45" t="s">
        <v>159</v>
      </c>
      <c r="E415" s="47"/>
      <c r="F415" s="45" t="s">
        <v>204</v>
      </c>
      <c r="G415" s="47"/>
      <c r="H415" s="45" t="s">
        <v>78</v>
      </c>
      <c r="I415" s="47"/>
      <c r="J415" s="43" t="s">
        <v>109</v>
      </c>
      <c r="K415" s="46"/>
      <c r="L415" s="44"/>
      <c r="M415" s="43" t="s">
        <v>110</v>
      </c>
      <c r="N415" s="46"/>
      <c r="O415" s="44"/>
      <c r="P415" s="45" t="s">
        <v>112</v>
      </c>
      <c r="Q415" s="47"/>
      <c r="R415" s="45" t="s">
        <v>113</v>
      </c>
      <c r="S415" s="46"/>
      <c r="T415" s="43" t="s">
        <v>111</v>
      </c>
      <c r="U415" s="44"/>
      <c r="V415" s="43" t="s">
        <v>114</v>
      </c>
      <c r="W415" s="44"/>
      <c r="X415" s="43" t="s">
        <v>205</v>
      </c>
      <c r="Y415" s="44"/>
      <c r="Z415" s="26" t="s">
        <v>206</v>
      </c>
      <c r="AA415" s="27"/>
      <c r="AB415" s="23"/>
      <c r="AC415" s="23"/>
      <c r="AD415" s="23"/>
      <c r="AE415" s="23"/>
      <c r="AF415" s="23"/>
      <c r="AG415" s="23"/>
      <c r="AH415" s="23"/>
    </row>
    <row r="416" spans="3:34" x14ac:dyDescent="0.35"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</row>
    <row r="417" spans="3:34" x14ac:dyDescent="0.35"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</row>
    <row r="418" spans="3:34" x14ac:dyDescent="0.35"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</row>
  </sheetData>
  <mergeCells count="250">
    <mergeCell ref="X54:Y54"/>
    <mergeCell ref="R5:S5"/>
    <mergeCell ref="T5:U5"/>
    <mergeCell ref="V5:W5"/>
    <mergeCell ref="X5:Y5"/>
    <mergeCell ref="D5:E5"/>
    <mergeCell ref="F5:G5"/>
    <mergeCell ref="H5:I5"/>
    <mergeCell ref="J5:L5"/>
    <mergeCell ref="M5:O5"/>
    <mergeCell ref="P5:Q5"/>
    <mergeCell ref="D14:E14"/>
    <mergeCell ref="F14:G14"/>
    <mergeCell ref="H14:I14"/>
    <mergeCell ref="J14:L14"/>
    <mergeCell ref="D54:E54"/>
    <mergeCell ref="F54:G54"/>
    <mergeCell ref="H54:I54"/>
    <mergeCell ref="J54:L54"/>
    <mergeCell ref="M54:O54"/>
    <mergeCell ref="P54:Q54"/>
    <mergeCell ref="R54:S54"/>
    <mergeCell ref="T54:U54"/>
    <mergeCell ref="V54:W54"/>
    <mergeCell ref="X177:Y177"/>
    <mergeCell ref="X100:Y100"/>
    <mergeCell ref="D100:E100"/>
    <mergeCell ref="F100:G100"/>
    <mergeCell ref="H100:I100"/>
    <mergeCell ref="J100:L100"/>
    <mergeCell ref="M100:O100"/>
    <mergeCell ref="P100:Q100"/>
    <mergeCell ref="R100:S100"/>
    <mergeCell ref="T100:U100"/>
    <mergeCell ref="V100:W100"/>
    <mergeCell ref="D177:E177"/>
    <mergeCell ref="F177:G177"/>
    <mergeCell ref="H177:I177"/>
    <mergeCell ref="J177:L177"/>
    <mergeCell ref="M177:O177"/>
    <mergeCell ref="P177:Q177"/>
    <mergeCell ref="R177:S177"/>
    <mergeCell ref="T177:U177"/>
    <mergeCell ref="V177:W177"/>
    <mergeCell ref="X150:Y150"/>
    <mergeCell ref="D174:E174"/>
    <mergeCell ref="F174:G174"/>
    <mergeCell ref="H174:I174"/>
    <mergeCell ref="X343:Y343"/>
    <mergeCell ref="D192:E192"/>
    <mergeCell ref="F192:G192"/>
    <mergeCell ref="H192:I192"/>
    <mergeCell ref="J192:L192"/>
    <mergeCell ref="M192:O192"/>
    <mergeCell ref="P192:Q192"/>
    <mergeCell ref="R192:S192"/>
    <mergeCell ref="T192:U192"/>
    <mergeCell ref="V192:W192"/>
    <mergeCell ref="X192:Y192"/>
    <mergeCell ref="D343:E343"/>
    <mergeCell ref="F343:G343"/>
    <mergeCell ref="H343:I343"/>
    <mergeCell ref="J343:L343"/>
    <mergeCell ref="M343:O343"/>
    <mergeCell ref="P343:Q343"/>
    <mergeCell ref="R343:S343"/>
    <mergeCell ref="T343:U343"/>
    <mergeCell ref="V343:W343"/>
    <mergeCell ref="X218:Y218"/>
    <mergeCell ref="D236:E236"/>
    <mergeCell ref="F236:G236"/>
    <mergeCell ref="H236:I236"/>
    <mergeCell ref="M14:O14"/>
    <mergeCell ref="P14:Q14"/>
    <mergeCell ref="R14:S14"/>
    <mergeCell ref="T14:U14"/>
    <mergeCell ref="V14:W14"/>
    <mergeCell ref="X14:Y14"/>
    <mergeCell ref="D40:E40"/>
    <mergeCell ref="F40:G40"/>
    <mergeCell ref="H40:I40"/>
    <mergeCell ref="J40:L40"/>
    <mergeCell ref="M40:O40"/>
    <mergeCell ref="P40:Q40"/>
    <mergeCell ref="R40:S40"/>
    <mergeCell ref="T40:U40"/>
    <mergeCell ref="V40:W40"/>
    <mergeCell ref="X40:Y40"/>
    <mergeCell ref="X76:Y76"/>
    <mergeCell ref="D126:E126"/>
    <mergeCell ref="F126:G126"/>
    <mergeCell ref="H126:I126"/>
    <mergeCell ref="J126:L126"/>
    <mergeCell ref="M126:O126"/>
    <mergeCell ref="P126:Q126"/>
    <mergeCell ref="R126:S126"/>
    <mergeCell ref="T126:U126"/>
    <mergeCell ref="V126:W126"/>
    <mergeCell ref="X126:Y126"/>
    <mergeCell ref="D76:E76"/>
    <mergeCell ref="F76:G76"/>
    <mergeCell ref="H76:I76"/>
    <mergeCell ref="J76:L76"/>
    <mergeCell ref="M76:O76"/>
    <mergeCell ref="P76:Q76"/>
    <mergeCell ref="R76:S76"/>
    <mergeCell ref="T76:U76"/>
    <mergeCell ref="V76:W76"/>
    <mergeCell ref="J174:L174"/>
    <mergeCell ref="M174:O174"/>
    <mergeCell ref="P174:Q174"/>
    <mergeCell ref="R174:S174"/>
    <mergeCell ref="T174:U174"/>
    <mergeCell ref="V174:W174"/>
    <mergeCell ref="X174:Y174"/>
    <mergeCell ref="D150:E150"/>
    <mergeCell ref="F150:G150"/>
    <mergeCell ref="H150:I150"/>
    <mergeCell ref="J150:L150"/>
    <mergeCell ref="M150:O150"/>
    <mergeCell ref="P150:Q150"/>
    <mergeCell ref="R150:S150"/>
    <mergeCell ref="T150:U150"/>
    <mergeCell ref="V150:W150"/>
    <mergeCell ref="X186:Y186"/>
    <mergeCell ref="D189:E189"/>
    <mergeCell ref="F189:G189"/>
    <mergeCell ref="H189:I189"/>
    <mergeCell ref="J189:L189"/>
    <mergeCell ref="M189:O189"/>
    <mergeCell ref="P189:Q189"/>
    <mergeCell ref="R189:S189"/>
    <mergeCell ref="T189:U189"/>
    <mergeCell ref="V189:W189"/>
    <mergeCell ref="X189:Y189"/>
    <mergeCell ref="D186:E186"/>
    <mergeCell ref="F186:G186"/>
    <mergeCell ref="H186:I186"/>
    <mergeCell ref="J186:L186"/>
    <mergeCell ref="M186:O186"/>
    <mergeCell ref="P186:Q186"/>
    <mergeCell ref="R186:S186"/>
    <mergeCell ref="T186:U186"/>
    <mergeCell ref="V186:W186"/>
    <mergeCell ref="J236:L236"/>
    <mergeCell ref="M236:O236"/>
    <mergeCell ref="P236:Q236"/>
    <mergeCell ref="R236:S236"/>
    <mergeCell ref="T236:U236"/>
    <mergeCell ref="V236:W236"/>
    <mergeCell ref="X236:Y236"/>
    <mergeCell ref="D218:E218"/>
    <mergeCell ref="F218:G218"/>
    <mergeCell ref="H218:I218"/>
    <mergeCell ref="J218:L218"/>
    <mergeCell ref="M218:O218"/>
    <mergeCell ref="P218:Q218"/>
    <mergeCell ref="R218:S218"/>
    <mergeCell ref="T218:U218"/>
    <mergeCell ref="V218:W218"/>
    <mergeCell ref="X262:Y262"/>
    <mergeCell ref="D286:E286"/>
    <mergeCell ref="F286:G286"/>
    <mergeCell ref="H286:I286"/>
    <mergeCell ref="J286:L286"/>
    <mergeCell ref="M286:O286"/>
    <mergeCell ref="P286:Q286"/>
    <mergeCell ref="R286:S286"/>
    <mergeCell ref="T286:U286"/>
    <mergeCell ref="V286:W286"/>
    <mergeCell ref="X286:Y286"/>
    <mergeCell ref="D262:E262"/>
    <mergeCell ref="F262:G262"/>
    <mergeCell ref="H262:I262"/>
    <mergeCell ref="J262:L262"/>
    <mergeCell ref="M262:O262"/>
    <mergeCell ref="P262:Q262"/>
    <mergeCell ref="R262:S262"/>
    <mergeCell ref="T262:U262"/>
    <mergeCell ref="V262:W262"/>
    <mergeCell ref="X304:Y304"/>
    <mergeCell ref="D330:E330"/>
    <mergeCell ref="F330:G330"/>
    <mergeCell ref="H330:I330"/>
    <mergeCell ref="J330:L330"/>
    <mergeCell ref="M330:O330"/>
    <mergeCell ref="P330:Q330"/>
    <mergeCell ref="R330:S330"/>
    <mergeCell ref="T330:U330"/>
    <mergeCell ref="V330:W330"/>
    <mergeCell ref="X330:Y330"/>
    <mergeCell ref="D304:E304"/>
    <mergeCell ref="F304:G304"/>
    <mergeCell ref="H304:I304"/>
    <mergeCell ref="J304:L304"/>
    <mergeCell ref="M304:O304"/>
    <mergeCell ref="P304:Q304"/>
    <mergeCell ref="R304:S304"/>
    <mergeCell ref="T304:U304"/>
    <mergeCell ref="V304:W304"/>
    <mergeCell ref="X361:Y361"/>
    <mergeCell ref="D370:E370"/>
    <mergeCell ref="F370:G370"/>
    <mergeCell ref="H370:I370"/>
    <mergeCell ref="J370:L370"/>
    <mergeCell ref="M370:O370"/>
    <mergeCell ref="P370:Q370"/>
    <mergeCell ref="R370:S370"/>
    <mergeCell ref="T370:U370"/>
    <mergeCell ref="V370:W370"/>
    <mergeCell ref="X370:Y370"/>
    <mergeCell ref="D361:E361"/>
    <mergeCell ref="F361:G361"/>
    <mergeCell ref="H361:I361"/>
    <mergeCell ref="J361:L361"/>
    <mergeCell ref="M361:O361"/>
    <mergeCell ref="P361:Q361"/>
    <mergeCell ref="R361:S361"/>
    <mergeCell ref="T361:U361"/>
    <mergeCell ref="V361:W361"/>
    <mergeCell ref="J388:L388"/>
    <mergeCell ref="M388:O388"/>
    <mergeCell ref="P388:Q388"/>
    <mergeCell ref="R388:S388"/>
    <mergeCell ref="T388:U388"/>
    <mergeCell ref="V388:W388"/>
    <mergeCell ref="X388:Y388"/>
    <mergeCell ref="D391:E391"/>
    <mergeCell ref="F391:G391"/>
    <mergeCell ref="H391:I391"/>
    <mergeCell ref="J391:L391"/>
    <mergeCell ref="M391:O391"/>
    <mergeCell ref="P391:Q391"/>
    <mergeCell ref="R391:S391"/>
    <mergeCell ref="T391:U391"/>
    <mergeCell ref="V391:W391"/>
    <mergeCell ref="X391:Y391"/>
    <mergeCell ref="D388:E388"/>
    <mergeCell ref="F388:G388"/>
    <mergeCell ref="H388:I388"/>
    <mergeCell ref="X415:Y415"/>
    <mergeCell ref="D415:E415"/>
    <mergeCell ref="F415:G415"/>
    <mergeCell ref="H415:I415"/>
    <mergeCell ref="J415:L415"/>
    <mergeCell ref="M415:O415"/>
    <mergeCell ref="P415:Q415"/>
    <mergeCell ref="R415:S415"/>
    <mergeCell ref="T415:U415"/>
    <mergeCell ref="V415:W41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190500</xdr:colOff>
                <xdr:row>0</xdr:row>
                <xdr:rowOff>165100</xdr:rowOff>
              </from>
              <to>
                <xdr:col>2</xdr:col>
                <xdr:colOff>374650</xdr:colOff>
                <xdr:row>2</xdr:row>
                <xdr:rowOff>38100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4:AD300"/>
  <sheetViews>
    <sheetView showGridLines="0" workbookViewId="0"/>
  </sheetViews>
  <sheetFormatPr defaultRowHeight="14.5" outlineLevelRow="1" x14ac:dyDescent="0.35"/>
  <sheetData>
    <row r="4" spans="1:30" ht="15" thickBot="1" x14ac:dyDescent="0.4">
      <c r="A4" s="11" t="s">
        <v>132</v>
      </c>
      <c r="B4" s="10">
        <v>0.375</v>
      </c>
      <c r="C4" s="10">
        <v>0.38541666666666669</v>
      </c>
      <c r="D4" s="10">
        <v>0.39583333333333298</v>
      </c>
      <c r="E4" s="10">
        <v>0.40625</v>
      </c>
      <c r="F4" s="10">
        <v>0.41666666666666702</v>
      </c>
      <c r="G4" s="10">
        <v>0.4236111111111111</v>
      </c>
      <c r="H4" s="10">
        <v>0.43055555555555558</v>
      </c>
      <c r="I4" s="10">
        <v>0.4375</v>
      </c>
      <c r="J4" s="10">
        <v>0.44444444444444442</v>
      </c>
      <c r="K4" s="10">
        <v>0.45833333333333331</v>
      </c>
      <c r="L4" s="10">
        <v>0.47222222222222227</v>
      </c>
      <c r="M4" s="10">
        <v>0.4861111111111111</v>
      </c>
      <c r="N4" s="10">
        <v>0.5</v>
      </c>
      <c r="O4" s="10">
        <v>0.51041666666666663</v>
      </c>
      <c r="P4" s="10">
        <v>0.52083333333333337</v>
      </c>
      <c r="Q4" s="10">
        <v>0.53125</v>
      </c>
      <c r="R4" s="10">
        <v>0.54166666666666663</v>
      </c>
      <c r="S4" s="10">
        <v>0.55555555555555558</v>
      </c>
      <c r="T4" s="10">
        <v>0.56944444444444442</v>
      </c>
      <c r="U4" s="10">
        <v>0.58333333333333337</v>
      </c>
      <c r="V4" s="10">
        <v>0.59722222222222221</v>
      </c>
      <c r="W4" s="10">
        <v>0.61111111111111105</v>
      </c>
      <c r="X4" s="10">
        <v>0.625</v>
      </c>
      <c r="Y4" s="10">
        <v>0.63888888888888895</v>
      </c>
    </row>
    <row r="5" spans="1:30" ht="15" thickBot="1" x14ac:dyDescent="0.4">
      <c r="B5" s="50" t="s">
        <v>159</v>
      </c>
      <c r="C5" s="51"/>
      <c r="D5" s="50" t="s">
        <v>204</v>
      </c>
      <c r="E5" s="51"/>
      <c r="F5" s="50" t="s">
        <v>78</v>
      </c>
      <c r="G5" s="51"/>
      <c r="H5" s="48" t="s">
        <v>109</v>
      </c>
      <c r="I5" s="52"/>
      <c r="J5" s="49"/>
      <c r="K5" s="48" t="s">
        <v>110</v>
      </c>
      <c r="L5" s="52"/>
      <c r="M5" s="49"/>
      <c r="N5" s="50" t="s">
        <v>112</v>
      </c>
      <c r="O5" s="51"/>
      <c r="P5" s="50" t="s">
        <v>113</v>
      </c>
      <c r="Q5" s="52"/>
      <c r="R5" s="48" t="s">
        <v>111</v>
      </c>
      <c r="S5" s="49"/>
      <c r="T5" s="48" t="s">
        <v>114</v>
      </c>
      <c r="U5" s="49"/>
      <c r="V5" s="48" t="s">
        <v>205</v>
      </c>
      <c r="W5" s="49"/>
      <c r="X5" s="19" t="s">
        <v>206</v>
      </c>
      <c r="Y5" s="17"/>
    </row>
    <row r="6" spans="1:30" ht="10" customHeight="1" outlineLevel="1" thickBot="1" x14ac:dyDescent="0.4">
      <c r="A6" s="7" t="s">
        <v>116</v>
      </c>
      <c r="B6" s="7"/>
      <c r="C6" s="7"/>
      <c r="D6" s="7"/>
      <c r="E6" s="7"/>
      <c r="F6" s="7"/>
      <c r="G6" s="7"/>
      <c r="H6" s="20" t="s">
        <v>7</v>
      </c>
      <c r="I6" s="9"/>
      <c r="J6" s="9"/>
      <c r="K6" s="9"/>
      <c r="L6" s="9"/>
      <c r="M6" s="21"/>
      <c r="N6" s="7"/>
      <c r="O6" s="7"/>
      <c r="P6" s="7"/>
      <c r="Q6" s="7"/>
      <c r="R6" s="20" t="s">
        <v>7</v>
      </c>
      <c r="S6" s="21"/>
      <c r="T6" s="22" t="s">
        <v>7</v>
      </c>
      <c r="U6" s="7"/>
      <c r="V6" s="7"/>
      <c r="W6" s="7"/>
      <c r="X6" s="7"/>
      <c r="Y6" s="7"/>
      <c r="Z6" s="7"/>
      <c r="AA6" s="7"/>
      <c r="AB6" s="13">
        <v>2.25</v>
      </c>
      <c r="AC6" s="7"/>
      <c r="AD6" s="7"/>
    </row>
    <row r="7" spans="1:30" ht="10" customHeight="1" outlineLevel="1" x14ac:dyDescent="0.35">
      <c r="A7" s="7"/>
      <c r="B7" s="7"/>
      <c r="C7" s="7"/>
      <c r="D7" s="7"/>
      <c r="E7" s="7"/>
      <c r="F7" s="7"/>
      <c r="G7" s="7"/>
      <c r="H7" s="7" t="s">
        <v>76</v>
      </c>
      <c r="I7" s="7" t="s">
        <v>76</v>
      </c>
      <c r="J7" s="7" t="s">
        <v>76</v>
      </c>
      <c r="K7" s="7" t="s">
        <v>76</v>
      </c>
      <c r="L7" s="7" t="s">
        <v>83</v>
      </c>
      <c r="M7" s="7" t="s">
        <v>83</v>
      </c>
      <c r="N7" s="7"/>
      <c r="O7" s="7"/>
      <c r="P7" s="7"/>
      <c r="Q7" s="7"/>
      <c r="R7" s="7" t="s">
        <v>76</v>
      </c>
      <c r="S7" s="7" t="s">
        <v>76</v>
      </c>
      <c r="T7" s="7" t="s">
        <v>76</v>
      </c>
      <c r="U7" s="7"/>
      <c r="V7" s="7"/>
      <c r="W7" s="7"/>
      <c r="X7" s="7"/>
      <c r="Y7" s="7"/>
      <c r="Z7" s="7"/>
      <c r="AA7" s="7"/>
      <c r="AB7" s="7"/>
      <c r="AC7" s="7"/>
      <c r="AD7" s="7"/>
    </row>
    <row r="8" spans="1:30" ht="10" customHeight="1" outlineLevel="1" x14ac:dyDescent="0.35">
      <c r="A8" s="7"/>
      <c r="B8" s="7"/>
      <c r="C8" s="7"/>
      <c r="D8" s="7"/>
      <c r="E8" s="7"/>
      <c r="F8" s="7"/>
      <c r="G8" s="7"/>
      <c r="H8" s="7" t="s">
        <v>119</v>
      </c>
      <c r="I8" s="7" t="s">
        <v>119</v>
      </c>
      <c r="J8" s="7" t="s">
        <v>119</v>
      </c>
      <c r="K8" s="7" t="s">
        <v>119</v>
      </c>
      <c r="L8" s="7" t="s">
        <v>76</v>
      </c>
      <c r="M8" s="7" t="s">
        <v>76</v>
      </c>
      <c r="N8" s="7"/>
      <c r="O8" s="7"/>
      <c r="P8" s="7"/>
      <c r="Q8" s="7"/>
      <c r="R8" s="7" t="s">
        <v>119</v>
      </c>
      <c r="S8" s="7" t="s">
        <v>119</v>
      </c>
      <c r="T8" s="7" t="s">
        <v>119</v>
      </c>
      <c r="U8" s="7"/>
      <c r="V8" s="7"/>
      <c r="W8" s="7"/>
      <c r="X8" s="7"/>
      <c r="Y8" s="7"/>
      <c r="Z8" s="7"/>
      <c r="AA8" s="7"/>
      <c r="AB8" s="7"/>
      <c r="AC8" s="7"/>
      <c r="AD8" s="7"/>
    </row>
    <row r="9" spans="1:30" ht="10" customHeight="1" outlineLevel="1" x14ac:dyDescent="0.35">
      <c r="A9" s="7"/>
      <c r="B9" s="7"/>
      <c r="C9" s="7"/>
      <c r="D9" s="7"/>
      <c r="E9" s="7"/>
      <c r="F9" s="7"/>
      <c r="G9" s="7"/>
      <c r="H9" s="7" t="s">
        <v>125</v>
      </c>
      <c r="I9" s="7" t="s">
        <v>125</v>
      </c>
      <c r="J9" s="7" t="s">
        <v>100</v>
      </c>
      <c r="K9" s="7" t="s">
        <v>100</v>
      </c>
      <c r="L9" s="7" t="s">
        <v>119</v>
      </c>
      <c r="M9" s="7" t="s">
        <v>119</v>
      </c>
      <c r="N9" s="7"/>
      <c r="O9" s="7"/>
      <c r="P9" s="7"/>
      <c r="Q9" s="7"/>
      <c r="R9" s="7" t="s">
        <v>125</v>
      </c>
      <c r="S9" s="7" t="s">
        <v>125</v>
      </c>
      <c r="T9" s="7" t="s">
        <v>125</v>
      </c>
      <c r="U9" s="7"/>
      <c r="V9" s="7"/>
      <c r="W9" s="7"/>
      <c r="X9" s="7"/>
      <c r="Y9" s="7"/>
      <c r="Z9" s="7"/>
      <c r="AA9" s="7"/>
      <c r="AB9" s="7"/>
      <c r="AC9" s="7"/>
      <c r="AD9" s="7"/>
    </row>
    <row r="10" spans="1:30" ht="10" customHeight="1" outlineLevel="1" x14ac:dyDescent="0.35">
      <c r="A10" s="7"/>
      <c r="B10" s="7"/>
      <c r="C10" s="7"/>
      <c r="D10" s="7"/>
      <c r="E10" s="7"/>
      <c r="F10" s="7"/>
      <c r="G10" s="7"/>
      <c r="H10" s="7"/>
      <c r="I10" s="7"/>
      <c r="J10" s="7" t="s">
        <v>125</v>
      </c>
      <c r="K10" s="7" t="s">
        <v>125</v>
      </c>
      <c r="L10" s="7" t="s">
        <v>125</v>
      </c>
      <c r="M10" s="7" t="s">
        <v>125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</row>
    <row r="11" spans="1:30" ht="10" customHeight="1" outlineLevel="1" thickBot="1" x14ac:dyDescent="0.4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</row>
    <row r="12" spans="1:30" ht="10" customHeight="1" outlineLevel="1" thickBot="1" x14ac:dyDescent="0.4">
      <c r="A12" s="7" t="s">
        <v>75</v>
      </c>
      <c r="B12" s="7"/>
      <c r="C12" s="7"/>
      <c r="D12" s="7"/>
      <c r="E12" s="7"/>
      <c r="F12" s="7"/>
      <c r="G12" s="7"/>
      <c r="H12" s="20" t="s">
        <v>0</v>
      </c>
      <c r="I12" s="9"/>
      <c r="J12" s="9"/>
      <c r="K12" s="9"/>
      <c r="L12" s="9"/>
      <c r="M12" s="21"/>
      <c r="N12" s="20" t="s">
        <v>112</v>
      </c>
      <c r="O12" s="21"/>
      <c r="P12" s="7"/>
      <c r="Q12" s="7"/>
      <c r="R12" s="20" t="s">
        <v>0</v>
      </c>
      <c r="S12" s="9"/>
      <c r="T12" s="9"/>
      <c r="U12" s="9"/>
      <c r="V12" s="9"/>
      <c r="W12" s="9"/>
      <c r="X12" s="21"/>
      <c r="Y12" s="7"/>
      <c r="Z12" s="7"/>
      <c r="AA12" s="7"/>
      <c r="AB12" s="13">
        <v>3.75</v>
      </c>
      <c r="AC12" s="7"/>
      <c r="AD12" s="7"/>
    </row>
    <row r="13" spans="1:30" ht="10" customHeight="1" outlineLevel="1" x14ac:dyDescent="0.35">
      <c r="A13" s="7"/>
      <c r="B13" s="7"/>
      <c r="C13" s="7"/>
      <c r="D13" s="7"/>
      <c r="E13" s="7"/>
      <c r="F13" s="7"/>
      <c r="G13" s="7"/>
      <c r="H13" s="7" t="s">
        <v>76</v>
      </c>
      <c r="I13" s="7" t="s">
        <v>76</v>
      </c>
      <c r="J13" s="7" t="s">
        <v>76</v>
      </c>
      <c r="K13" s="7" t="s">
        <v>76</v>
      </c>
      <c r="L13" s="7" t="s">
        <v>83</v>
      </c>
      <c r="M13" s="7" t="s">
        <v>83</v>
      </c>
      <c r="N13" s="7" t="s">
        <v>83</v>
      </c>
      <c r="O13" s="7" t="s">
        <v>83</v>
      </c>
      <c r="P13" s="7"/>
      <c r="Q13" s="7"/>
      <c r="R13" s="7" t="s">
        <v>76</v>
      </c>
      <c r="S13" s="7" t="s">
        <v>76</v>
      </c>
      <c r="T13" s="7" t="s">
        <v>76</v>
      </c>
      <c r="U13" s="7" t="s">
        <v>76</v>
      </c>
      <c r="V13" s="7" t="s">
        <v>77</v>
      </c>
      <c r="W13" s="7" t="s">
        <v>77</v>
      </c>
      <c r="X13" s="7" t="s">
        <v>77</v>
      </c>
      <c r="Y13" s="7"/>
      <c r="Z13" s="7"/>
      <c r="AA13" s="7"/>
      <c r="AB13" s="7"/>
      <c r="AC13" s="7"/>
      <c r="AD13" s="7"/>
    </row>
    <row r="14" spans="1:30" ht="10" customHeight="1" x14ac:dyDescent="0.35">
      <c r="A14" s="7"/>
      <c r="B14" s="7"/>
      <c r="C14" s="7"/>
      <c r="D14" s="7"/>
      <c r="E14" s="7"/>
      <c r="F14" s="7"/>
      <c r="G14" s="7"/>
      <c r="H14" s="7" t="s">
        <v>119</v>
      </c>
      <c r="I14" s="7" t="s">
        <v>119</v>
      </c>
      <c r="J14" s="7" t="s">
        <v>119</v>
      </c>
      <c r="K14" s="7" t="s">
        <v>119</v>
      </c>
      <c r="L14" s="7" t="s">
        <v>76</v>
      </c>
      <c r="M14" s="7" t="s">
        <v>76</v>
      </c>
      <c r="N14" s="7" t="s">
        <v>73</v>
      </c>
      <c r="O14" s="7" t="s">
        <v>73</v>
      </c>
      <c r="P14" s="7"/>
      <c r="Q14" s="7"/>
      <c r="R14" s="7" t="s">
        <v>119</v>
      </c>
      <c r="S14" s="7" t="s">
        <v>119</v>
      </c>
      <c r="T14" s="7" t="s">
        <v>119</v>
      </c>
      <c r="U14" s="7" t="s">
        <v>119</v>
      </c>
      <c r="V14" s="7" t="s">
        <v>76</v>
      </c>
      <c r="W14" s="7" t="s">
        <v>76</v>
      </c>
      <c r="X14" s="7" t="s">
        <v>76</v>
      </c>
      <c r="Y14" s="7"/>
      <c r="Z14" s="7"/>
      <c r="AA14" s="7"/>
      <c r="AB14" s="7"/>
      <c r="AC14" s="7"/>
      <c r="AD14" s="7"/>
    </row>
    <row r="15" spans="1:30" ht="10" customHeight="1" x14ac:dyDescent="0.35">
      <c r="A15" s="7"/>
      <c r="B15" s="7"/>
      <c r="C15" s="7"/>
      <c r="D15" s="7"/>
      <c r="E15" s="7"/>
      <c r="F15" s="7"/>
      <c r="G15" s="7"/>
      <c r="H15" s="7" t="s">
        <v>125</v>
      </c>
      <c r="I15" s="7" t="s">
        <v>125</v>
      </c>
      <c r="J15" s="7" t="s">
        <v>100</v>
      </c>
      <c r="K15" s="7" t="s">
        <v>100</v>
      </c>
      <c r="L15" s="7" t="s">
        <v>119</v>
      </c>
      <c r="M15" s="7" t="s">
        <v>119</v>
      </c>
      <c r="N15" s="7" t="s">
        <v>74</v>
      </c>
      <c r="O15" s="7" t="s">
        <v>74</v>
      </c>
      <c r="P15" s="7"/>
      <c r="Q15" s="7"/>
      <c r="R15" s="7" t="s">
        <v>125</v>
      </c>
      <c r="S15" s="7" t="s">
        <v>125</v>
      </c>
      <c r="T15" s="7" t="s">
        <v>125</v>
      </c>
      <c r="U15" s="7" t="s">
        <v>125</v>
      </c>
      <c r="V15" s="7" t="s">
        <v>119</v>
      </c>
      <c r="W15" s="7" t="s">
        <v>119</v>
      </c>
      <c r="X15" s="7" t="s">
        <v>119</v>
      </c>
      <c r="Y15" s="7"/>
      <c r="Z15" s="7"/>
      <c r="AA15" s="7"/>
      <c r="AB15" s="7"/>
      <c r="AC15" s="7"/>
      <c r="AD15" s="7"/>
    </row>
    <row r="16" spans="1:30" ht="10" customHeight="1" x14ac:dyDescent="0.35">
      <c r="A16" s="7"/>
      <c r="B16" s="7"/>
      <c r="C16" s="7"/>
      <c r="D16" s="7"/>
      <c r="E16" s="7"/>
      <c r="F16" s="7"/>
      <c r="G16" s="7"/>
      <c r="H16" s="7"/>
      <c r="I16" s="7"/>
      <c r="J16" s="7" t="s">
        <v>125</v>
      </c>
      <c r="K16" s="7" t="s">
        <v>125</v>
      </c>
      <c r="L16" s="7" t="s">
        <v>125</v>
      </c>
      <c r="M16" s="7" t="s">
        <v>125</v>
      </c>
      <c r="N16" s="7" t="s">
        <v>76</v>
      </c>
      <c r="O16" s="7" t="s">
        <v>76</v>
      </c>
      <c r="P16" s="7"/>
      <c r="Q16" s="7"/>
      <c r="R16" s="7"/>
      <c r="S16" s="7"/>
      <c r="T16" s="7"/>
      <c r="U16" s="7"/>
      <c r="V16" s="7" t="s">
        <v>82</v>
      </c>
      <c r="W16" s="7" t="s">
        <v>82</v>
      </c>
      <c r="X16" s="7" t="s">
        <v>82</v>
      </c>
      <c r="Y16" s="7"/>
      <c r="Z16" s="7"/>
      <c r="AA16" s="7"/>
      <c r="AB16" s="7"/>
      <c r="AC16" s="7"/>
      <c r="AD16" s="7"/>
    </row>
    <row r="17" spans="1:30" ht="10" customHeight="1" outlineLevel="1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 t="s">
        <v>119</v>
      </c>
      <c r="O17" s="7" t="s">
        <v>119</v>
      </c>
      <c r="P17" s="7"/>
      <c r="Q17" s="7"/>
      <c r="R17" s="7"/>
      <c r="S17" s="7"/>
      <c r="T17" s="7"/>
      <c r="U17" s="7"/>
      <c r="V17" s="7" t="s">
        <v>125</v>
      </c>
      <c r="W17" s="7" t="s">
        <v>125</v>
      </c>
      <c r="X17" s="7" t="s">
        <v>100</v>
      </c>
      <c r="Y17" s="7"/>
      <c r="Z17" s="7"/>
      <c r="AA17" s="7"/>
      <c r="AB17" s="7"/>
      <c r="AC17" s="7"/>
      <c r="AD17" s="7"/>
    </row>
    <row r="18" spans="1:30" ht="10" customHeight="1" outlineLevel="1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 t="s">
        <v>190</v>
      </c>
      <c r="O18" s="7" t="s">
        <v>190</v>
      </c>
      <c r="P18" s="7"/>
      <c r="Q18" s="7"/>
      <c r="R18" s="7"/>
      <c r="S18" s="7"/>
      <c r="T18" s="7"/>
      <c r="U18" s="7"/>
      <c r="V18" s="7"/>
      <c r="W18" s="7"/>
      <c r="X18" s="7" t="s">
        <v>99</v>
      </c>
      <c r="Y18" s="7"/>
      <c r="Z18" s="7"/>
      <c r="AA18" s="7"/>
      <c r="AB18" s="7"/>
      <c r="AC18" s="7"/>
      <c r="AD18" s="7"/>
    </row>
    <row r="19" spans="1:30" ht="10" customHeight="1" outlineLevel="1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 t="s">
        <v>71</v>
      </c>
      <c r="O19" s="7" t="s">
        <v>71</v>
      </c>
      <c r="P19" s="7"/>
      <c r="Q19" s="7"/>
      <c r="R19" s="7"/>
      <c r="S19" s="7"/>
      <c r="T19" s="7"/>
      <c r="U19" s="7"/>
      <c r="V19" s="7"/>
      <c r="W19" s="7"/>
      <c r="X19" s="7" t="s">
        <v>125</v>
      </c>
      <c r="Y19" s="7"/>
      <c r="Z19" s="7"/>
      <c r="AA19" s="7"/>
      <c r="AB19" s="7"/>
      <c r="AC19" s="7"/>
      <c r="AD19" s="7"/>
    </row>
    <row r="20" spans="1:30" ht="10" customHeight="1" outlineLevel="1" x14ac:dyDescent="0.3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 t="s">
        <v>70</v>
      </c>
      <c r="O20" s="7" t="s">
        <v>70</v>
      </c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</row>
    <row r="21" spans="1:30" ht="10" customHeight="1" outlineLevel="1" x14ac:dyDescent="0.3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 t="s">
        <v>81</v>
      </c>
      <c r="O21" s="7" t="s">
        <v>81</v>
      </c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</row>
    <row r="22" spans="1:30" ht="10" customHeight="1" outlineLevel="1" x14ac:dyDescent="0.3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 t="s">
        <v>125</v>
      </c>
      <c r="O22" s="7" t="s">
        <v>125</v>
      </c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</row>
    <row r="23" spans="1:30" ht="10" customHeight="1" outlineLevel="1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ht="10" customHeight="1" outlineLevel="1" x14ac:dyDescent="0.3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</row>
    <row r="25" spans="1:30" ht="10" customHeight="1" x14ac:dyDescent="0.3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</row>
    <row r="26" spans="1:30" ht="10" customHeight="1" outlineLevel="1" x14ac:dyDescent="0.3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</row>
    <row r="27" spans="1:30" ht="10" customHeight="1" outlineLevel="1" x14ac:dyDescent="0.3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</row>
    <row r="28" spans="1:30" ht="10" customHeight="1" outlineLevel="1" x14ac:dyDescent="0.3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ht="10" customHeight="1" outlineLevel="1" x14ac:dyDescent="0.3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ht="10" customHeight="1" outlineLevel="1" x14ac:dyDescent="0.3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ht="10" customHeight="1" outlineLevel="1" x14ac:dyDescent="0.3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ht="10" customHeight="1" outlineLevel="1" x14ac:dyDescent="0.3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ht="10" customHeight="1" outlineLevel="1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ht="10" customHeight="1" outlineLevel="1" x14ac:dyDescent="0.3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ht="10" customHeight="1" outlineLevel="1" x14ac:dyDescent="0.3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ht="10" customHeight="1" x14ac:dyDescent="0.3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ht="10" customHeight="1" outlineLevel="1" x14ac:dyDescent="0.3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ht="10" customHeight="1" x14ac:dyDescent="0.3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ht="10" customHeight="1" outlineLevel="1" x14ac:dyDescent="0.3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  <row r="40" spans="1:30" ht="10" customHeight="1" x14ac:dyDescent="0.3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</row>
    <row r="41" spans="1:30" ht="10" customHeight="1" x14ac:dyDescent="0.3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ht="10" customHeight="1" x14ac:dyDescent="0.3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ht="10" customHeight="1" outlineLevel="1" x14ac:dyDescent="0.3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ht="10" customHeight="1" outlineLevel="1" x14ac:dyDescent="0.3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ht="10" customHeight="1" x14ac:dyDescent="0.3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</row>
    <row r="46" spans="1:30" ht="10" customHeight="1" x14ac:dyDescent="0.3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</row>
    <row r="47" spans="1:30" ht="10" customHeight="1" outlineLevel="1" x14ac:dyDescent="0.3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</row>
    <row r="48" spans="1:30" ht="10" customHeight="1" x14ac:dyDescent="0.3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spans="1:30" ht="10" customHeight="1" outlineLevel="1" x14ac:dyDescent="0.3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</row>
    <row r="50" spans="1:30" ht="10" customHeight="1" x14ac:dyDescent="0.3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</row>
    <row r="51" spans="1:30" ht="10" customHeight="1" x14ac:dyDescent="0.3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</row>
    <row r="52" spans="1:30" ht="10" customHeight="1" x14ac:dyDescent="0.3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3" spans="1:30" ht="10" customHeight="1" x14ac:dyDescent="0.3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</row>
    <row r="54" spans="1:30" ht="10" customHeight="1" x14ac:dyDescent="0.3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</row>
    <row r="55" spans="1:30" ht="10" customHeight="1" x14ac:dyDescent="0.3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</row>
    <row r="56" spans="1:30" ht="10" customHeight="1" x14ac:dyDescent="0.3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</row>
    <row r="57" spans="1:30" ht="10" customHeight="1" x14ac:dyDescent="0.3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</row>
    <row r="58" spans="1:30" ht="10" customHeight="1" x14ac:dyDescent="0.3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</row>
    <row r="59" spans="1:30" ht="10" customHeight="1" x14ac:dyDescent="0.3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</row>
    <row r="60" spans="1:30" ht="10" customHeight="1" x14ac:dyDescent="0.3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</row>
    <row r="61" spans="1:30" ht="10" customHeight="1" x14ac:dyDescent="0.3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</row>
    <row r="62" spans="1:30" ht="10" customHeight="1" x14ac:dyDescent="0.3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</row>
    <row r="63" spans="1:30" ht="10" customHeight="1" x14ac:dyDescent="0.3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</row>
    <row r="64" spans="1:30" ht="10" customHeight="1" x14ac:dyDescent="0.3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</row>
    <row r="65" spans="1:30" ht="10" customHeight="1" x14ac:dyDescent="0.3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</row>
    <row r="66" spans="1:30" ht="10" customHeight="1" x14ac:dyDescent="0.3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</row>
    <row r="67" spans="1:30" ht="10" customHeight="1" x14ac:dyDescent="0.3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</row>
    <row r="68" spans="1:30" ht="10" customHeight="1" x14ac:dyDescent="0.3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</row>
    <row r="69" spans="1:30" ht="10" customHeight="1" x14ac:dyDescent="0.3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</row>
    <row r="70" spans="1:30" ht="10" customHeight="1" x14ac:dyDescent="0.3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</row>
    <row r="71" spans="1:30" ht="10" customHeight="1" x14ac:dyDescent="0.3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</row>
    <row r="72" spans="1:30" ht="10" customHeight="1" x14ac:dyDescent="0.3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</row>
    <row r="73" spans="1:30" ht="10" customHeight="1" x14ac:dyDescent="0.3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</row>
    <row r="74" spans="1:30" ht="10" customHeight="1" x14ac:dyDescent="0.3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</row>
    <row r="75" spans="1:30" ht="10" customHeight="1" x14ac:dyDescent="0.3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</row>
    <row r="76" spans="1:30" ht="10" customHeight="1" x14ac:dyDescent="0.3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</row>
    <row r="77" spans="1:30" ht="10" customHeight="1" x14ac:dyDescent="0.3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</row>
    <row r="78" spans="1:30" ht="10" customHeight="1" x14ac:dyDescent="0.3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</row>
    <row r="79" spans="1:30" ht="10" customHeight="1" x14ac:dyDescent="0.3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</row>
    <row r="80" spans="1:30" ht="10" customHeight="1" x14ac:dyDescent="0.3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</row>
    <row r="81" spans="1:30" ht="10" customHeight="1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</row>
    <row r="82" spans="1:30" ht="10" customHeight="1" x14ac:dyDescent="0.3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</row>
    <row r="83" spans="1:30" ht="10" customHeight="1" x14ac:dyDescent="0.3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</row>
    <row r="84" spans="1:30" ht="10" customHeight="1" x14ac:dyDescent="0.3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</row>
    <row r="85" spans="1:30" ht="10" customHeight="1" x14ac:dyDescent="0.3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</row>
    <row r="86" spans="1:30" ht="10" customHeight="1" x14ac:dyDescent="0.3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</row>
    <row r="87" spans="1:30" ht="10" customHeight="1" x14ac:dyDescent="0.3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</row>
    <row r="88" spans="1:30" ht="10" customHeight="1" x14ac:dyDescent="0.3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</row>
    <row r="89" spans="1:30" ht="10" customHeight="1" x14ac:dyDescent="0.3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</row>
    <row r="90" spans="1:30" ht="10" customHeight="1" x14ac:dyDescent="0.3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</row>
    <row r="91" spans="1:30" ht="10" customHeight="1" x14ac:dyDescent="0.3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</row>
    <row r="92" spans="1:30" ht="10" customHeight="1" x14ac:dyDescent="0.3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</row>
    <row r="93" spans="1:30" ht="10" customHeight="1" x14ac:dyDescent="0.3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</row>
    <row r="94" spans="1:30" ht="10" customHeight="1" x14ac:dyDescent="0.3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</row>
    <row r="95" spans="1:30" ht="10" customHeight="1" x14ac:dyDescent="0.3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</row>
    <row r="96" spans="1:30" ht="10" customHeight="1" x14ac:dyDescent="0.3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</row>
    <row r="97" spans="1:30" ht="10" customHeight="1" x14ac:dyDescent="0.3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</row>
    <row r="98" spans="1:30" ht="10" customHeight="1" x14ac:dyDescent="0.3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</row>
    <row r="99" spans="1:30" ht="10" customHeight="1" x14ac:dyDescent="0.3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</row>
    <row r="100" spans="1:30" ht="10" customHeight="1" x14ac:dyDescent="0.3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</row>
    <row r="101" spans="1:30" ht="10" customHeight="1" x14ac:dyDescent="0.3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</row>
    <row r="102" spans="1:30" ht="10" customHeight="1" x14ac:dyDescent="0.3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</row>
    <row r="103" spans="1:30" ht="10" customHeight="1" x14ac:dyDescent="0.3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</row>
    <row r="104" spans="1:30" ht="10" customHeight="1" x14ac:dyDescent="0.3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</row>
    <row r="105" spans="1:30" ht="10" customHeight="1" x14ac:dyDescent="0.3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</row>
    <row r="106" spans="1:30" ht="10" customHeight="1" x14ac:dyDescent="0.3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  <row r="107" spans="1:30" ht="10" customHeight="1" x14ac:dyDescent="0.3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</row>
    <row r="108" spans="1:30" ht="10" customHeight="1" x14ac:dyDescent="0.3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</row>
    <row r="109" spans="1:30" ht="10" customHeight="1" x14ac:dyDescent="0.3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</row>
    <row r="110" spans="1:30" ht="10" customHeight="1" x14ac:dyDescent="0.3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</row>
    <row r="111" spans="1:30" ht="10" customHeight="1" x14ac:dyDescent="0.3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</row>
    <row r="112" spans="1:30" ht="10" customHeight="1" x14ac:dyDescent="0.3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</row>
    <row r="113" spans="1:30" ht="10" customHeight="1" x14ac:dyDescent="0.3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</row>
    <row r="114" spans="1:30" ht="10" customHeight="1" x14ac:dyDescent="0.3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</row>
    <row r="115" spans="1:30" ht="10" customHeight="1" x14ac:dyDescent="0.3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</row>
    <row r="116" spans="1:30" ht="10" customHeight="1" x14ac:dyDescent="0.3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</row>
    <row r="117" spans="1:30" ht="10" customHeight="1" x14ac:dyDescent="0.3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</row>
    <row r="118" spans="1:30" ht="10" customHeight="1" x14ac:dyDescent="0.3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</row>
    <row r="119" spans="1:30" ht="10" customHeight="1" x14ac:dyDescent="0.3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</row>
    <row r="120" spans="1:30" ht="10" customHeight="1" x14ac:dyDescent="0.3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</row>
    <row r="121" spans="1:30" ht="10" customHeight="1" x14ac:dyDescent="0.3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</row>
    <row r="122" spans="1:30" ht="10" customHeight="1" x14ac:dyDescent="0.3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</row>
    <row r="123" spans="1:30" ht="10" customHeight="1" x14ac:dyDescent="0.3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</row>
    <row r="124" spans="1:30" ht="10" customHeight="1" x14ac:dyDescent="0.3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</row>
    <row r="125" spans="1:30" ht="10" customHeight="1" x14ac:dyDescent="0.3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</row>
    <row r="126" spans="1:30" ht="10" customHeight="1" x14ac:dyDescent="0.3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</row>
    <row r="127" spans="1:30" ht="10" customHeight="1" x14ac:dyDescent="0.3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</row>
    <row r="128" spans="1:30" ht="10" customHeight="1" x14ac:dyDescent="0.3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</row>
    <row r="129" spans="1:30" ht="10" customHeight="1" x14ac:dyDescent="0.3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</row>
    <row r="130" spans="1:30" ht="10" customHeight="1" x14ac:dyDescent="0.3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</row>
    <row r="131" spans="1:30" ht="10" customHeight="1" x14ac:dyDescent="0.3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</row>
    <row r="132" spans="1:30" ht="10" customHeight="1" x14ac:dyDescent="0.3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</row>
    <row r="133" spans="1:30" ht="10" customHeight="1" x14ac:dyDescent="0.3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</row>
    <row r="134" spans="1:30" ht="10" customHeight="1" x14ac:dyDescent="0.3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</row>
    <row r="135" spans="1:30" ht="10" customHeight="1" x14ac:dyDescent="0.3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</row>
    <row r="136" spans="1:30" ht="10" customHeight="1" x14ac:dyDescent="0.3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</row>
    <row r="137" spans="1:30" ht="10" customHeight="1" x14ac:dyDescent="0.3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</row>
    <row r="138" spans="1:30" ht="10" customHeight="1" x14ac:dyDescent="0.3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</row>
    <row r="139" spans="1:30" ht="10" customHeight="1" x14ac:dyDescent="0.3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</row>
    <row r="140" spans="1:30" ht="10" customHeight="1" x14ac:dyDescent="0.3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</row>
    <row r="141" spans="1:30" ht="10" customHeight="1" x14ac:dyDescent="0.3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</row>
    <row r="142" spans="1:30" ht="10" customHeight="1" x14ac:dyDescent="0.3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</row>
    <row r="143" spans="1:30" ht="10" customHeight="1" x14ac:dyDescent="0.3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</row>
    <row r="144" spans="1:30" ht="10" customHeight="1" x14ac:dyDescent="0.3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</row>
    <row r="145" spans="1:30" ht="10" customHeight="1" x14ac:dyDescent="0.3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</row>
    <row r="146" spans="1:30" ht="10" customHeight="1" x14ac:dyDescent="0.3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</row>
    <row r="147" spans="1:30" ht="10" customHeight="1" x14ac:dyDescent="0.3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</row>
    <row r="148" spans="1:30" ht="10" customHeight="1" x14ac:dyDescent="0.3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</row>
    <row r="149" spans="1:30" ht="10" customHeight="1" x14ac:dyDescent="0.3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</row>
    <row r="150" spans="1:30" ht="10" customHeight="1" x14ac:dyDescent="0.3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</row>
    <row r="151" spans="1:30" ht="10" customHeight="1" x14ac:dyDescent="0.3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</row>
    <row r="152" spans="1:30" ht="10" customHeight="1" x14ac:dyDescent="0.3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</row>
    <row r="153" spans="1:30" ht="10" customHeight="1" x14ac:dyDescent="0.3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</row>
    <row r="154" spans="1:30" ht="10" customHeight="1" x14ac:dyDescent="0.3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</row>
    <row r="155" spans="1:30" ht="10" customHeight="1" x14ac:dyDescent="0.3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</row>
    <row r="156" spans="1:30" ht="10" customHeight="1" x14ac:dyDescent="0.3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</row>
    <row r="157" spans="1:30" ht="10" customHeight="1" x14ac:dyDescent="0.3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</row>
    <row r="158" spans="1:30" ht="10" customHeight="1" x14ac:dyDescent="0.3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</row>
    <row r="159" spans="1:30" ht="10" customHeight="1" x14ac:dyDescent="0.3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</row>
    <row r="160" spans="1:30" ht="10" customHeight="1" x14ac:dyDescent="0.3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</row>
    <row r="161" spans="1:30" ht="10" customHeight="1" x14ac:dyDescent="0.3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</row>
    <row r="162" spans="1:30" ht="10" customHeight="1" x14ac:dyDescent="0.3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</row>
    <row r="163" spans="1:30" ht="10" customHeight="1" x14ac:dyDescent="0.3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</row>
    <row r="164" spans="1:30" ht="10" customHeight="1" x14ac:dyDescent="0.3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</row>
    <row r="165" spans="1:30" ht="10" customHeight="1" x14ac:dyDescent="0.3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</row>
    <row r="166" spans="1:30" ht="10" customHeight="1" x14ac:dyDescent="0.3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</row>
    <row r="167" spans="1:30" ht="10" customHeight="1" x14ac:dyDescent="0.3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</row>
    <row r="168" spans="1:30" ht="10" customHeight="1" x14ac:dyDescent="0.3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</row>
    <row r="169" spans="1:30" ht="10" customHeight="1" x14ac:dyDescent="0.3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</row>
    <row r="170" spans="1:30" ht="10" customHeight="1" x14ac:dyDescent="0.3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</row>
    <row r="171" spans="1:30" ht="10" customHeight="1" x14ac:dyDescent="0.3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</row>
    <row r="172" spans="1:30" ht="10" customHeight="1" x14ac:dyDescent="0.3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</row>
    <row r="173" spans="1:30" ht="10" customHeight="1" x14ac:dyDescent="0.3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</row>
    <row r="174" spans="1:30" ht="10" customHeight="1" x14ac:dyDescent="0.3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</row>
    <row r="175" spans="1:30" ht="10" customHeight="1" x14ac:dyDescent="0.3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</row>
    <row r="176" spans="1:30" ht="10" customHeight="1" x14ac:dyDescent="0.3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</row>
    <row r="177" spans="1:30" ht="10" customHeight="1" x14ac:dyDescent="0.3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</row>
    <row r="178" spans="1:30" ht="10" customHeight="1" x14ac:dyDescent="0.3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</row>
    <row r="179" spans="1:30" ht="10" customHeight="1" x14ac:dyDescent="0.3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</row>
    <row r="180" spans="1:30" ht="10" customHeight="1" x14ac:dyDescent="0.3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</row>
    <row r="181" spans="1:30" ht="10" customHeight="1" x14ac:dyDescent="0.3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</row>
    <row r="182" spans="1:30" ht="10" customHeight="1" x14ac:dyDescent="0.3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</row>
    <row r="183" spans="1:30" ht="10" customHeight="1" x14ac:dyDescent="0.3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</row>
    <row r="184" spans="1:30" ht="10" customHeight="1" x14ac:dyDescent="0.3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</row>
    <row r="185" spans="1:30" ht="10" customHeight="1" x14ac:dyDescent="0.3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</row>
    <row r="186" spans="1:30" ht="10" customHeight="1" x14ac:dyDescent="0.3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</row>
    <row r="187" spans="1:30" ht="10" customHeight="1" x14ac:dyDescent="0.3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</row>
    <row r="188" spans="1:30" ht="10" customHeight="1" x14ac:dyDescent="0.3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</row>
    <row r="189" spans="1:30" ht="10" customHeight="1" x14ac:dyDescent="0.3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</row>
    <row r="190" spans="1:30" ht="10" customHeight="1" x14ac:dyDescent="0.3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</row>
    <row r="191" spans="1:30" ht="10" customHeight="1" x14ac:dyDescent="0.3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</row>
    <row r="192" spans="1:30" ht="10" customHeight="1" x14ac:dyDescent="0.3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</row>
    <row r="193" spans="1:30" ht="10" customHeight="1" x14ac:dyDescent="0.3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</row>
    <row r="194" spans="1:30" ht="10" customHeight="1" x14ac:dyDescent="0.3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</row>
    <row r="195" spans="1:30" ht="10" customHeight="1" x14ac:dyDescent="0.3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</row>
    <row r="196" spans="1:30" ht="10" customHeight="1" x14ac:dyDescent="0.3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</row>
    <row r="197" spans="1:30" ht="10" customHeight="1" x14ac:dyDescent="0.3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</row>
    <row r="198" spans="1:30" ht="10" customHeight="1" x14ac:dyDescent="0.3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</row>
    <row r="199" spans="1:30" ht="10" customHeight="1" x14ac:dyDescent="0.3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</row>
    <row r="200" spans="1:30" ht="10" customHeight="1" x14ac:dyDescent="0.3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</row>
    <row r="201" spans="1:30" ht="10" customHeight="1" x14ac:dyDescent="0.3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</row>
    <row r="202" spans="1:30" ht="10" customHeight="1" x14ac:dyDescent="0.3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</row>
    <row r="203" spans="1:30" ht="10" customHeight="1" x14ac:dyDescent="0.3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</row>
    <row r="204" spans="1:30" ht="10" customHeight="1" x14ac:dyDescent="0.3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</row>
    <row r="205" spans="1:30" ht="10" customHeight="1" x14ac:dyDescent="0.3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</row>
    <row r="206" spans="1:30" ht="10" customHeight="1" x14ac:dyDescent="0.3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</row>
    <row r="207" spans="1:30" ht="10" customHeight="1" x14ac:dyDescent="0.3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</row>
    <row r="208" spans="1:30" ht="10" customHeight="1" x14ac:dyDescent="0.3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</row>
    <row r="209" spans="1:30" ht="10" customHeight="1" x14ac:dyDescent="0.3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</row>
    <row r="210" spans="1:30" ht="10" customHeight="1" x14ac:dyDescent="0.3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</row>
    <row r="211" spans="1:30" ht="10" customHeight="1" x14ac:dyDescent="0.3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</row>
    <row r="212" spans="1:30" ht="10" customHeight="1" x14ac:dyDescent="0.3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</row>
    <row r="213" spans="1:30" ht="10" customHeight="1" x14ac:dyDescent="0.3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</row>
    <row r="214" spans="1:30" ht="10" customHeight="1" x14ac:dyDescent="0.3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</row>
    <row r="215" spans="1:30" ht="10" customHeight="1" x14ac:dyDescent="0.3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</row>
    <row r="216" spans="1:30" ht="10" customHeight="1" x14ac:dyDescent="0.3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</row>
    <row r="217" spans="1:30" ht="10" customHeight="1" x14ac:dyDescent="0.3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</row>
    <row r="218" spans="1:30" ht="10" customHeight="1" x14ac:dyDescent="0.3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</row>
    <row r="219" spans="1:30" ht="10" customHeight="1" x14ac:dyDescent="0.3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</row>
    <row r="220" spans="1:30" ht="10" customHeight="1" x14ac:dyDescent="0.3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</row>
    <row r="221" spans="1:30" ht="10" customHeight="1" x14ac:dyDescent="0.3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1:30" ht="10" customHeight="1" x14ac:dyDescent="0.3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</row>
    <row r="223" spans="1:30" ht="10" customHeight="1" x14ac:dyDescent="0.3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</row>
    <row r="224" spans="1:30" ht="10" customHeight="1" x14ac:dyDescent="0.3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</row>
    <row r="225" spans="1:30" ht="10" customHeight="1" x14ac:dyDescent="0.3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</row>
    <row r="226" spans="1:30" ht="10" customHeight="1" x14ac:dyDescent="0.3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</row>
    <row r="227" spans="1:30" ht="10" customHeight="1" x14ac:dyDescent="0.3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</row>
    <row r="228" spans="1:30" ht="10" customHeight="1" x14ac:dyDescent="0.3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</row>
    <row r="229" spans="1:30" ht="10" customHeight="1" x14ac:dyDescent="0.3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</row>
    <row r="230" spans="1:30" ht="10" customHeight="1" x14ac:dyDescent="0.3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</row>
    <row r="231" spans="1:30" ht="10" customHeight="1" x14ac:dyDescent="0.3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</row>
    <row r="232" spans="1:30" ht="10" customHeight="1" x14ac:dyDescent="0.3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</row>
    <row r="233" spans="1:30" ht="10" customHeight="1" x14ac:dyDescent="0.3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</row>
    <row r="234" spans="1:30" ht="10" customHeight="1" x14ac:dyDescent="0.3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</row>
    <row r="235" spans="1:30" ht="10" customHeight="1" x14ac:dyDescent="0.3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</row>
    <row r="236" spans="1:30" ht="10" customHeight="1" x14ac:dyDescent="0.3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</row>
    <row r="237" spans="1:30" ht="10" customHeight="1" x14ac:dyDescent="0.3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</row>
    <row r="238" spans="1:30" ht="10" customHeight="1" x14ac:dyDescent="0.3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</row>
    <row r="239" spans="1:30" ht="10" customHeight="1" x14ac:dyDescent="0.3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</row>
    <row r="240" spans="1:30" ht="10" customHeight="1" x14ac:dyDescent="0.3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</row>
    <row r="241" spans="1:30" ht="10" customHeight="1" x14ac:dyDescent="0.3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</row>
    <row r="242" spans="1:30" ht="10" customHeight="1" x14ac:dyDescent="0.3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</row>
    <row r="243" spans="1:30" ht="10" customHeight="1" x14ac:dyDescent="0.3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</row>
    <row r="244" spans="1:30" ht="10" customHeight="1" x14ac:dyDescent="0.3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</row>
    <row r="245" spans="1:30" ht="10" customHeight="1" x14ac:dyDescent="0.3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</row>
    <row r="246" spans="1:30" ht="10" customHeight="1" x14ac:dyDescent="0.3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</row>
    <row r="247" spans="1:30" ht="10" customHeight="1" x14ac:dyDescent="0.3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</row>
    <row r="248" spans="1:30" ht="10" customHeight="1" x14ac:dyDescent="0.3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</row>
    <row r="249" spans="1:30" ht="10" customHeight="1" x14ac:dyDescent="0.3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</row>
    <row r="250" spans="1:30" ht="10" customHeight="1" x14ac:dyDescent="0.3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</row>
    <row r="251" spans="1:30" ht="10" customHeight="1" x14ac:dyDescent="0.3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</row>
    <row r="252" spans="1:30" ht="10" customHeight="1" x14ac:dyDescent="0.3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</row>
    <row r="253" spans="1:30" ht="10" customHeight="1" x14ac:dyDescent="0.3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</row>
    <row r="254" spans="1:30" ht="10" customHeight="1" x14ac:dyDescent="0.3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</row>
    <row r="255" spans="1:30" ht="10" customHeight="1" x14ac:dyDescent="0.3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</row>
    <row r="256" spans="1:30" ht="10" customHeight="1" x14ac:dyDescent="0.3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</row>
    <row r="257" spans="1:30" ht="10" customHeight="1" x14ac:dyDescent="0.3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</row>
    <row r="258" spans="1:30" ht="10" customHeight="1" x14ac:dyDescent="0.3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</row>
    <row r="259" spans="1:30" ht="10" customHeight="1" x14ac:dyDescent="0.3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</row>
    <row r="260" spans="1:30" ht="10" customHeight="1" x14ac:dyDescent="0.3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</row>
    <row r="261" spans="1:30" ht="10" customHeight="1" x14ac:dyDescent="0.3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</row>
    <row r="262" spans="1:30" ht="10" customHeight="1" x14ac:dyDescent="0.3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</row>
    <row r="263" spans="1:30" ht="10" customHeight="1" x14ac:dyDescent="0.3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</row>
    <row r="264" spans="1:30" ht="10" customHeight="1" x14ac:dyDescent="0.3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</row>
    <row r="265" spans="1:30" ht="10" customHeight="1" x14ac:dyDescent="0.3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</row>
    <row r="266" spans="1:30" ht="10" customHeight="1" x14ac:dyDescent="0.3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</row>
    <row r="267" spans="1:30" ht="10" customHeight="1" x14ac:dyDescent="0.3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</row>
    <row r="268" spans="1:30" ht="10" customHeight="1" x14ac:dyDescent="0.3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</row>
    <row r="269" spans="1:30" ht="10" customHeight="1" x14ac:dyDescent="0.3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</row>
    <row r="270" spans="1:30" ht="10" customHeight="1" x14ac:dyDescent="0.3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</row>
    <row r="271" spans="1:30" ht="10" customHeight="1" x14ac:dyDescent="0.3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</row>
    <row r="272" spans="1:30" ht="10" customHeight="1" x14ac:dyDescent="0.3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</row>
    <row r="273" spans="1:30" ht="10" customHeight="1" x14ac:dyDescent="0.3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</row>
    <row r="274" spans="1:30" ht="10" customHeight="1" x14ac:dyDescent="0.3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</row>
    <row r="275" spans="1:30" ht="10" customHeight="1" x14ac:dyDescent="0.3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</row>
    <row r="276" spans="1:30" ht="10" customHeight="1" x14ac:dyDescent="0.3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</row>
    <row r="277" spans="1:30" ht="10" customHeight="1" x14ac:dyDescent="0.3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</row>
    <row r="278" spans="1:30" ht="10" customHeight="1" x14ac:dyDescent="0.3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</row>
    <row r="279" spans="1:30" ht="10" customHeight="1" x14ac:dyDescent="0.3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</row>
    <row r="280" spans="1:30" ht="10" customHeight="1" x14ac:dyDescent="0.3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</row>
    <row r="281" spans="1:30" ht="10" customHeight="1" x14ac:dyDescent="0.3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</row>
    <row r="282" spans="1:30" ht="10" customHeight="1" x14ac:dyDescent="0.3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</row>
    <row r="283" spans="1:30" ht="10" customHeight="1" x14ac:dyDescent="0.3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</row>
    <row r="284" spans="1:30" ht="10" customHeight="1" x14ac:dyDescent="0.3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</row>
    <row r="285" spans="1:30" ht="10" customHeight="1" x14ac:dyDescent="0.3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</row>
    <row r="286" spans="1:30" ht="10" customHeight="1" x14ac:dyDescent="0.3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</row>
    <row r="287" spans="1:30" ht="10" customHeight="1" x14ac:dyDescent="0.3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</row>
    <row r="288" spans="1:30" ht="10" customHeight="1" x14ac:dyDescent="0.3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</row>
    <row r="289" spans="1:30" ht="10" customHeight="1" x14ac:dyDescent="0.3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</row>
    <row r="290" spans="1:30" ht="10" customHeight="1" x14ac:dyDescent="0.3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</row>
    <row r="291" spans="1:30" ht="10" customHeight="1" x14ac:dyDescent="0.3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</row>
    <row r="292" spans="1:30" ht="10" customHeight="1" x14ac:dyDescent="0.3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</row>
    <row r="293" spans="1:30" ht="10" customHeight="1" x14ac:dyDescent="0.3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</row>
    <row r="294" spans="1:30" ht="10" customHeight="1" x14ac:dyDescent="0.3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</row>
    <row r="295" spans="1:30" ht="10" customHeight="1" x14ac:dyDescent="0.3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</row>
    <row r="296" spans="1:30" ht="10" customHeight="1" x14ac:dyDescent="0.3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</row>
    <row r="297" spans="1:30" ht="10" customHeight="1" x14ac:dyDescent="0.3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</row>
    <row r="298" spans="1:30" ht="10" customHeight="1" x14ac:dyDescent="0.3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</row>
    <row r="299" spans="1:30" ht="10" customHeight="1" x14ac:dyDescent="0.3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</row>
    <row r="300" spans="1:30" ht="10" customHeight="1" x14ac:dyDescent="0.3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</row>
  </sheetData>
  <mergeCells count="10">
    <mergeCell ref="R5:S5"/>
    <mergeCell ref="T5:U5"/>
    <mergeCell ref="V5:W5"/>
    <mergeCell ref="B5:C5"/>
    <mergeCell ref="D5:E5"/>
    <mergeCell ref="F5:G5"/>
    <mergeCell ref="H5:J5"/>
    <mergeCell ref="K5:M5"/>
    <mergeCell ref="N5:O5"/>
    <mergeCell ref="P5:Q5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100" r:id="rId4" name="ArrangeCoverButton">
          <controlPr defaultSize="0" autoLine="0" r:id="rId5">
            <anchor moveWithCells="1">
              <from>
                <xdr:col>11</xdr:col>
                <xdr:colOff>12700</xdr:colOff>
                <xdr:row>0</xdr:row>
                <xdr:rowOff>50800</xdr:rowOff>
              </from>
              <to>
                <xdr:col>14</xdr:col>
                <xdr:colOff>228600</xdr:colOff>
                <xdr:row>2</xdr:row>
                <xdr:rowOff>82550</xdr:rowOff>
              </to>
            </anchor>
          </controlPr>
        </control>
      </mc:Choice>
      <mc:Fallback>
        <control shapeId="4100" r:id="rId4" name="ArrangeCoverButton"/>
      </mc:Fallback>
    </mc:AlternateContent>
    <mc:AlternateContent xmlns:mc="http://schemas.openxmlformats.org/markup-compatibility/2006">
      <mc:Choice Requires="x14">
        <control shapeId="4099" r:id="rId6" name="CommandButton1">
          <controlPr defaultSize="0" autoLine="0" r:id="rId7">
            <anchor moveWithCells="1">
              <from>
                <xdr:col>2</xdr:col>
                <xdr:colOff>431800</xdr:colOff>
                <xdr:row>0</xdr:row>
                <xdr:rowOff>152400</xdr:rowOff>
              </from>
              <to>
                <xdr:col>4</xdr:col>
                <xdr:colOff>171450</xdr:colOff>
                <xdr:row>2</xdr:row>
                <xdr:rowOff>63500</xdr:rowOff>
              </to>
            </anchor>
          </controlPr>
        </control>
      </mc:Choice>
      <mc:Fallback>
        <control shapeId="409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Staff Overview</vt:lpstr>
      <vt:lpstr>Detailed Staff</vt:lpstr>
      <vt:lpstr>Cover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2006-09-16T00:00:00Z</dcterms:created>
  <dcterms:modified xsi:type="dcterms:W3CDTF">2019-08-02T11:15:03Z</dcterms:modified>
</cp:coreProperties>
</file>