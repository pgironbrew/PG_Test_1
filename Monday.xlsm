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10" windowWidth="14810" windowHeight="8010" activeTab="3"/>
  </bookViews>
  <sheets>
    <sheet name="Data" sheetId="1" r:id="rId1"/>
    <sheet name="Staff Overview" sheetId="2" r:id="rId2"/>
    <sheet name="Detailed Staff" sheetId="3" r:id="rId3"/>
    <sheet name="Cover" sheetId="4" r:id="rId4"/>
  </sheets>
  <functionGroups builtInGroupCount="17"/>
  <calcPr calcId="144525"/>
</workbook>
</file>

<file path=xl/calcChain.xml><?xml version="1.0" encoding="utf-8"?>
<calcChain xmlns="http://schemas.openxmlformats.org/spreadsheetml/2006/main">
  <c r="AB108" i="2" l="1"/>
  <c r="AC108" i="2" s="1"/>
  <c r="AB106" i="2"/>
  <c r="AC106" i="2" s="1"/>
  <c r="AB102" i="2"/>
  <c r="AC102" i="2" s="1"/>
  <c r="AB101" i="2" l="1"/>
  <c r="AC101" i="2" s="1"/>
  <c r="AB107" i="2" l="1"/>
  <c r="AC107" i="2" s="1"/>
  <c r="AB104" i="2"/>
  <c r="AC104" i="2" s="1"/>
  <c r="AB105" i="2"/>
  <c r="AC105" i="2" s="1"/>
  <c r="AB103" i="2"/>
  <c r="AC103" i="2" s="1"/>
  <c r="AA106" i="2"/>
  <c r="AA102" i="2"/>
  <c r="AA104" i="2" l="1"/>
  <c r="AA101" i="2"/>
  <c r="AA105" i="2"/>
  <c r="AA107" i="2"/>
  <c r="AA103" i="2"/>
  <c r="AA7" i="2" l="1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6" i="2"/>
  <c r="AI7" i="1" l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E3" i="3"/>
  <c r="F3" i="3" s="1"/>
  <c r="G3" i="3" s="1"/>
  <c r="H3" i="3" s="1"/>
  <c r="I3" i="3" s="1"/>
  <c r="J3" i="3" s="1"/>
  <c r="K3" i="3" s="1"/>
  <c r="L3" i="3" s="1"/>
  <c r="M3" i="3" s="1"/>
  <c r="N3" i="3" s="1"/>
  <c r="O3" i="3" s="1"/>
  <c r="P3" i="3" s="1"/>
  <c r="Q3" i="3" s="1"/>
  <c r="R3" i="3" s="1"/>
  <c r="S3" i="3" s="1"/>
  <c r="T3" i="3" s="1"/>
  <c r="U3" i="3" s="1"/>
  <c r="V3" i="3" s="1"/>
  <c r="W3" i="3" s="1"/>
  <c r="X3" i="3" s="1"/>
  <c r="Y3" i="3" s="1"/>
  <c r="C1" i="2" l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F212" i="1" l="1"/>
  <c r="G212" i="1" s="1"/>
  <c r="H212" i="1" s="1"/>
  <c r="I212" i="1" s="1"/>
  <c r="J212" i="1" s="1"/>
  <c r="K212" i="1" s="1"/>
  <c r="L212" i="1" s="1"/>
  <c r="M212" i="1" s="1"/>
  <c r="N212" i="1" s="1"/>
  <c r="O212" i="1" s="1"/>
  <c r="P212" i="1" s="1"/>
  <c r="Q212" i="1" s="1"/>
  <c r="R212" i="1" s="1"/>
  <c r="S212" i="1" s="1"/>
  <c r="T212" i="1" s="1"/>
  <c r="U212" i="1" s="1"/>
  <c r="V212" i="1" s="1"/>
  <c r="W212" i="1" s="1"/>
  <c r="X212" i="1" s="1"/>
  <c r="Y212" i="1" s="1"/>
  <c r="Z212" i="1" s="1"/>
  <c r="P8" i="1" l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V40" i="1" l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V51" i="1" s="1"/>
  <c r="EE157" i="1"/>
  <c r="EF157" i="1" s="1"/>
  <c r="EG157" i="1" s="1"/>
  <c r="EH157" i="1" s="1"/>
  <c r="EI157" i="1" s="1"/>
  <c r="EJ157" i="1" s="1"/>
  <c r="EK157" i="1" s="1"/>
  <c r="EL157" i="1" s="1"/>
  <c r="EM157" i="1" s="1"/>
  <c r="EN157" i="1" s="1"/>
  <c r="EO157" i="1" s="1"/>
  <c r="EP157" i="1" s="1"/>
  <c r="EQ157" i="1" s="1"/>
  <c r="ER157" i="1" s="1"/>
  <c r="ES157" i="1" s="1"/>
  <c r="ET157" i="1" s="1"/>
  <c r="EU157" i="1" s="1"/>
  <c r="EV157" i="1" s="1"/>
  <c r="EW157" i="1" s="1"/>
  <c r="EX157" i="1" s="1"/>
  <c r="EY157" i="1" s="1"/>
  <c r="EZ157" i="1" s="1"/>
  <c r="FA157" i="1" s="1"/>
  <c r="FB157" i="1" s="1"/>
  <c r="FC157" i="1" s="1"/>
  <c r="CY157" i="1"/>
  <c r="CZ157" i="1" s="1"/>
  <c r="DA157" i="1" s="1"/>
  <c r="DB157" i="1" s="1"/>
  <c r="DC157" i="1" s="1"/>
  <c r="DD157" i="1" s="1"/>
  <c r="DE157" i="1" s="1"/>
  <c r="DF157" i="1" s="1"/>
  <c r="DG157" i="1" s="1"/>
  <c r="DH157" i="1" s="1"/>
  <c r="DI157" i="1" s="1"/>
  <c r="DJ157" i="1" s="1"/>
  <c r="DK157" i="1" s="1"/>
  <c r="DL157" i="1" s="1"/>
  <c r="DM157" i="1" s="1"/>
  <c r="DN157" i="1" s="1"/>
  <c r="DO157" i="1" s="1"/>
  <c r="DP157" i="1" s="1"/>
  <c r="DQ157" i="1" s="1"/>
  <c r="DR157" i="1" s="1"/>
  <c r="DS157" i="1" s="1"/>
  <c r="DT157" i="1" s="1"/>
  <c r="DU157" i="1" s="1"/>
  <c r="DV157" i="1" s="1"/>
  <c r="DW157" i="1" s="1"/>
  <c r="BS157" i="1"/>
  <c r="BT157" i="1" s="1"/>
  <c r="BU157" i="1" s="1"/>
  <c r="BV157" i="1" s="1"/>
  <c r="BW157" i="1" s="1"/>
  <c r="BX157" i="1" s="1"/>
  <c r="BY157" i="1" s="1"/>
  <c r="BZ157" i="1" s="1"/>
  <c r="CA157" i="1" s="1"/>
  <c r="CB157" i="1" s="1"/>
  <c r="CC157" i="1" s="1"/>
  <c r="CD157" i="1" s="1"/>
  <c r="CE157" i="1" s="1"/>
  <c r="CF157" i="1" s="1"/>
  <c r="CG157" i="1" s="1"/>
  <c r="CH157" i="1" s="1"/>
  <c r="CI157" i="1" s="1"/>
  <c r="CJ157" i="1" s="1"/>
  <c r="CK157" i="1" s="1"/>
  <c r="CL157" i="1" s="1"/>
  <c r="CM157" i="1" s="1"/>
  <c r="CN157" i="1" s="1"/>
  <c r="CO157" i="1" s="1"/>
  <c r="CP157" i="1" s="1"/>
  <c r="CQ157" i="1" s="1"/>
  <c r="AK157" i="1"/>
  <c r="AL157" i="1" s="1"/>
  <c r="AM157" i="1" s="1"/>
  <c r="AN157" i="1" s="1"/>
  <c r="AO157" i="1" s="1"/>
  <c r="AP157" i="1" s="1"/>
  <c r="AQ157" i="1" s="1"/>
  <c r="AR157" i="1" s="1"/>
  <c r="AS157" i="1" s="1"/>
  <c r="AT157" i="1" s="1"/>
  <c r="AU157" i="1" s="1"/>
  <c r="AV157" i="1" s="1"/>
  <c r="AW157" i="1" s="1"/>
  <c r="AX157" i="1" s="1"/>
  <c r="AY157" i="1" s="1"/>
  <c r="AZ157" i="1" s="1"/>
  <c r="BA157" i="1" s="1"/>
  <c r="BB157" i="1" s="1"/>
  <c r="BC157" i="1" s="1"/>
  <c r="BD157" i="1" s="1"/>
  <c r="BE157" i="1" s="1"/>
  <c r="BF157" i="1" s="1"/>
  <c r="BG157" i="1" s="1"/>
  <c r="BH157" i="1" s="1"/>
  <c r="BI157" i="1" s="1"/>
  <c r="F59" i="1"/>
  <c r="G59" i="1" s="1"/>
  <c r="H59" i="1" s="1"/>
  <c r="I59" i="1" s="1"/>
  <c r="J59" i="1" s="1"/>
  <c r="K59" i="1" s="1"/>
  <c r="L59" i="1" s="1"/>
  <c r="M59" i="1" s="1"/>
  <c r="N59" i="1" s="1"/>
  <c r="O59" i="1" s="1"/>
  <c r="P59" i="1" s="1"/>
  <c r="Q59" i="1" s="1"/>
  <c r="R59" i="1" s="1"/>
  <c r="S59" i="1" s="1"/>
  <c r="T59" i="1" s="1"/>
  <c r="U59" i="1" s="1"/>
  <c r="V59" i="1" s="1"/>
  <c r="W59" i="1" s="1"/>
  <c r="X59" i="1" s="1"/>
  <c r="Y59" i="1" s="1"/>
  <c r="Z59" i="1" s="1"/>
  <c r="AA59" i="1" s="1"/>
  <c r="AB59" i="1" s="1"/>
  <c r="AC59" i="1" s="1"/>
  <c r="AD59" i="1" s="1"/>
</calcChain>
</file>

<file path=xl/sharedStrings.xml><?xml version="1.0" encoding="utf-8"?>
<sst xmlns="http://schemas.openxmlformats.org/spreadsheetml/2006/main" count="1894" uniqueCount="305">
  <si>
    <t>Class 1</t>
  </si>
  <si>
    <t>Troy</t>
  </si>
  <si>
    <t>Mathew</t>
  </si>
  <si>
    <t>Kieran</t>
  </si>
  <si>
    <t>Sean</t>
  </si>
  <si>
    <t>Class 2</t>
  </si>
  <si>
    <t>Lucy</t>
  </si>
  <si>
    <t>Class 3</t>
  </si>
  <si>
    <t>Robert</t>
  </si>
  <si>
    <t>Jamie</t>
  </si>
  <si>
    <t>Aaron</t>
  </si>
  <si>
    <t>Zak</t>
  </si>
  <si>
    <t>Bespoke</t>
  </si>
  <si>
    <t>James</t>
  </si>
  <si>
    <t>Outreach</t>
  </si>
  <si>
    <t>Lewis</t>
  </si>
  <si>
    <t>MCW</t>
  </si>
  <si>
    <t>Muditha</t>
  </si>
  <si>
    <t>Name</t>
  </si>
  <si>
    <t>Code</t>
  </si>
  <si>
    <t>Id</t>
  </si>
  <si>
    <t>Classroom 1</t>
  </si>
  <si>
    <t>Classroom 2</t>
  </si>
  <si>
    <t>Classroom 3</t>
  </si>
  <si>
    <t>Shared Learning</t>
  </si>
  <si>
    <t>Breakout Room</t>
  </si>
  <si>
    <t>Safe Space</t>
  </si>
  <si>
    <t>Life Skills Room</t>
  </si>
  <si>
    <t>Dinning Hall</t>
  </si>
  <si>
    <t>Playground</t>
  </si>
  <si>
    <t>Out of School</t>
  </si>
  <si>
    <t>C1</t>
  </si>
  <si>
    <t>C2</t>
  </si>
  <si>
    <t>C3</t>
  </si>
  <si>
    <t>SL</t>
  </si>
  <si>
    <t>BR</t>
  </si>
  <si>
    <t>SS</t>
  </si>
  <si>
    <t>LS</t>
  </si>
  <si>
    <t>DH</t>
  </si>
  <si>
    <t>PG</t>
  </si>
  <si>
    <t>O</t>
  </si>
  <si>
    <t>Darnley</t>
  </si>
  <si>
    <t>D</t>
  </si>
  <si>
    <t>ToryGlen Base</t>
  </si>
  <si>
    <t>TG</t>
  </si>
  <si>
    <t>Period</t>
  </si>
  <si>
    <t>Start Time</t>
  </si>
  <si>
    <t>Duration</t>
  </si>
  <si>
    <t>Pupil</t>
  </si>
  <si>
    <t>Class</t>
  </si>
  <si>
    <t>ShortCode</t>
  </si>
  <si>
    <t>o</t>
  </si>
  <si>
    <t>b</t>
  </si>
  <si>
    <t>c3</t>
  </si>
  <si>
    <t>c2</t>
  </si>
  <si>
    <t>c1</t>
  </si>
  <si>
    <t>Monday</t>
  </si>
  <si>
    <t>Tuesday</t>
  </si>
  <si>
    <t>Wed</t>
  </si>
  <si>
    <t>Thurs</t>
  </si>
  <si>
    <t>Fri</t>
  </si>
  <si>
    <t>Room</t>
  </si>
  <si>
    <t>Teacher 2</t>
  </si>
  <si>
    <t>Teacher 3</t>
  </si>
  <si>
    <t>PSA1</t>
  </si>
  <si>
    <t>PSA2</t>
  </si>
  <si>
    <t>PSA3</t>
  </si>
  <si>
    <t>PSA4</t>
  </si>
  <si>
    <t>Description</t>
  </si>
  <si>
    <t>Alice</t>
  </si>
  <si>
    <t>Jackie</t>
  </si>
  <si>
    <t>Helen</t>
  </si>
  <si>
    <t>Fran</t>
  </si>
  <si>
    <t>Peter</t>
  </si>
  <si>
    <t>Ellen</t>
  </si>
  <si>
    <t>Daniel</t>
  </si>
  <si>
    <t>Lorna</t>
  </si>
  <si>
    <t>Amy</t>
  </si>
  <si>
    <t>Snack</t>
  </si>
  <si>
    <t>Morag</t>
  </si>
  <si>
    <t>Lynn</t>
  </si>
  <si>
    <t>Roseanne</t>
  </si>
  <si>
    <t>Linda</t>
  </si>
  <si>
    <t>Heather M</t>
  </si>
  <si>
    <t>Teacher 4</t>
  </si>
  <si>
    <t>Top Corridor</t>
  </si>
  <si>
    <t>TC</t>
  </si>
  <si>
    <t>Teacher 1</t>
  </si>
  <si>
    <t>Short Name</t>
  </si>
  <si>
    <t>Long Name</t>
  </si>
  <si>
    <t>End P</t>
  </si>
  <si>
    <t>Subclass</t>
  </si>
  <si>
    <t>MG1</t>
  </si>
  <si>
    <t>MG2</t>
  </si>
  <si>
    <t>Lesson</t>
  </si>
  <si>
    <t>Whole School</t>
  </si>
  <si>
    <t>ws</t>
  </si>
  <si>
    <t xml:space="preserve">Morning Group 1 </t>
  </si>
  <si>
    <t>Morning Group 2</t>
  </si>
  <si>
    <t>ComL 2</t>
  </si>
  <si>
    <t>ComL 1</t>
  </si>
  <si>
    <t>T</t>
  </si>
  <si>
    <t>0 means pupil does not attend school at that period</t>
  </si>
  <si>
    <t>F</t>
  </si>
  <si>
    <t>Main</t>
  </si>
  <si>
    <t>John H</t>
  </si>
  <si>
    <t>M Group 1</t>
  </si>
  <si>
    <t>M Group 2</t>
  </si>
  <si>
    <t>Level</t>
  </si>
  <si>
    <t>P1</t>
  </si>
  <si>
    <t>P2</t>
  </si>
  <si>
    <t>P3</t>
  </si>
  <si>
    <t>Lunch</t>
  </si>
  <si>
    <t>Outside</t>
  </si>
  <si>
    <t>P4</t>
  </si>
  <si>
    <t>Staff</t>
  </si>
  <si>
    <t>Claudia</t>
  </si>
  <si>
    <t>Heather H</t>
  </si>
  <si>
    <t>Heather L</t>
  </si>
  <si>
    <t>Mairi</t>
  </si>
  <si>
    <t>Anne</t>
  </si>
  <si>
    <t>Teachers</t>
  </si>
  <si>
    <t>Management</t>
  </si>
  <si>
    <t>PSAs</t>
  </si>
  <si>
    <t>Externals</t>
  </si>
  <si>
    <t>SAS 1</t>
  </si>
  <si>
    <t>Type</t>
  </si>
  <si>
    <t>ID</t>
  </si>
  <si>
    <t>Teacher</t>
  </si>
  <si>
    <t>PSA</t>
  </si>
  <si>
    <t>External</t>
  </si>
  <si>
    <t>Row</t>
  </si>
  <si>
    <t>Absent Staff</t>
  </si>
  <si>
    <t>Staff not contracted to work</t>
  </si>
  <si>
    <t>Wednesday</t>
  </si>
  <si>
    <t>Thursday</t>
  </si>
  <si>
    <t>Friday</t>
  </si>
  <si>
    <t>Lessons</t>
  </si>
  <si>
    <t>Lesson List</t>
  </si>
  <si>
    <t>Not Contracted</t>
  </si>
  <si>
    <t>$D$22:$E$22</t>
  </si>
  <si>
    <t>Room: Classroom 1</t>
  </si>
  <si>
    <t>Room: Classroom 2</t>
  </si>
  <si>
    <t>Room: Classroom 3</t>
  </si>
  <si>
    <t>Room: Safe Space</t>
  </si>
  <si>
    <t>Room: Out of School</t>
  </si>
  <si>
    <t>Aiden</t>
  </si>
  <si>
    <t>Alfie</t>
  </si>
  <si>
    <t>John C</t>
  </si>
  <si>
    <t>Benjamin W</t>
  </si>
  <si>
    <t>Ben J</t>
  </si>
  <si>
    <t>Room: Darnley</t>
  </si>
  <si>
    <t>B-MCW</t>
  </si>
  <si>
    <t>Jay</t>
  </si>
  <si>
    <t>Zoe</t>
  </si>
  <si>
    <t>Soft Start</t>
  </si>
  <si>
    <t>Soft Start -Class 1</t>
  </si>
  <si>
    <t>Calum</t>
  </si>
  <si>
    <t>ss c2</t>
  </si>
  <si>
    <t>ss c1</t>
  </si>
  <si>
    <t>Soft Start - Class 2</t>
  </si>
  <si>
    <t>ss c3</t>
  </si>
  <si>
    <t>Soft Start - Class 3</t>
  </si>
  <si>
    <t>S</t>
  </si>
  <si>
    <t>L</t>
  </si>
  <si>
    <t>Outdoors</t>
  </si>
  <si>
    <t>c3-a</t>
  </si>
  <si>
    <t>Benjamin</t>
  </si>
  <si>
    <t>B-JS</t>
  </si>
  <si>
    <t>$E$215:$F$216</t>
  </si>
  <si>
    <t>$N$7:$O$7</t>
  </si>
  <si>
    <t>$P$10:$Q$10</t>
  </si>
  <si>
    <t>$N$11:$O$11</t>
  </si>
  <si>
    <t>$P$14:$Q$14</t>
  </si>
  <si>
    <t>$B$20:$C$20</t>
  </si>
  <si>
    <t>$D$20:$E$20</t>
  </si>
  <si>
    <t>$N$20:$O$20</t>
  </si>
  <si>
    <t>$N$22:$O$22</t>
  </si>
  <si>
    <t>$P$23:$Q$23</t>
  </si>
  <si>
    <t>$N$25:$O$25</t>
  </si>
  <si>
    <t>$B$22:$C$22</t>
  </si>
  <si>
    <t>$B$27:$C$27</t>
  </si>
  <si>
    <t>Room: Dinning Hall</t>
  </si>
  <si>
    <t>Room: Playground</t>
  </si>
  <si>
    <t>Room: Life Skills Room</t>
  </si>
  <si>
    <t>Catherne</t>
  </si>
  <si>
    <t>$P$32:$Q$32</t>
  </si>
  <si>
    <t>$E$222:$F$223</t>
  </si>
  <si>
    <t>$E$229:$F$230</t>
  </si>
  <si>
    <t>$D$23:$E$23</t>
  </si>
  <si>
    <t>$B$24:$C$24</t>
  </si>
  <si>
    <t>Ben</t>
  </si>
  <si>
    <t>Cooking</t>
  </si>
  <si>
    <t>$G$251:$H$254</t>
  </si>
  <si>
    <t>$I$251:$J$253</t>
  </si>
  <si>
    <t>$Q$251:$R$254</t>
  </si>
  <si>
    <t>$S$251:$T$254</t>
  </si>
  <si>
    <t>$G$255:$H$258</t>
  </si>
  <si>
    <t>Cosgrove</t>
  </si>
  <si>
    <t>$D$27:$E$27</t>
  </si>
  <si>
    <t>Morning Group</t>
  </si>
  <si>
    <t>P5</t>
  </si>
  <si>
    <t>P6</t>
  </si>
  <si>
    <t>$U$215:$AA$215</t>
  </si>
  <si>
    <t>$E$242:$X$242</t>
  </si>
  <si>
    <t>$R$7:$X$7</t>
  </si>
  <si>
    <t>$R$10:$X$10</t>
  </si>
  <si>
    <t>$R$12:$X$12</t>
  </si>
  <si>
    <t>$R$16:$X$16</t>
  </si>
  <si>
    <t>$R$20:$X$20</t>
  </si>
  <si>
    <t>$R$23:$X$23</t>
  </si>
  <si>
    <t>End Time</t>
  </si>
  <si>
    <t>c1-a</t>
  </si>
  <si>
    <t>Shopping</t>
  </si>
  <si>
    <t>RSBI</t>
  </si>
  <si>
    <t>B-BW</t>
  </si>
  <si>
    <t>Swimming</t>
  </si>
  <si>
    <t>$K$215:$M$216</t>
  </si>
  <si>
    <t>$N$215:$P$216</t>
  </si>
  <si>
    <t>$N$217:$P$217</t>
  </si>
  <si>
    <t>$K$222:$P$222</t>
  </si>
  <si>
    <t>$S$222:$AA$222</t>
  </si>
  <si>
    <t>$U$229:$AA$229</t>
  </si>
  <si>
    <t>$E$231:$P$231</t>
  </si>
  <si>
    <t>$U$233:$AA$233</t>
  </si>
  <si>
    <t>$S$234:$AA$234</t>
  </si>
  <si>
    <t>$S$235:$AA$235</t>
  </si>
  <si>
    <t>$G$241:$P$241</t>
  </si>
  <si>
    <t>$Q$241:$T$241</t>
  </si>
  <si>
    <t>$U$243:$AA$243</t>
  </si>
  <si>
    <t>$B$6:$U$6</t>
  </si>
  <si>
    <t>$D$7:$E$7</t>
  </si>
  <si>
    <t>$F$7:$G$7</t>
  </si>
  <si>
    <t>$H$7:$J$7</t>
  </si>
  <si>
    <t>$K$7:$M$7</t>
  </si>
  <si>
    <t>$D$10:$M$10</t>
  </si>
  <si>
    <t>$D$11:$E$11</t>
  </si>
  <si>
    <t>$F$11:$G$11</t>
  </si>
  <si>
    <t>$P$12:$Q$12</t>
  </si>
  <si>
    <t>$H$12:$M$12</t>
  </si>
  <si>
    <t>$K$18:$M$18</t>
  </si>
  <si>
    <t>$H$20:$J$20</t>
  </si>
  <si>
    <t>$K$20:$M$20</t>
  </si>
  <si>
    <t>$B$21:$U$21</t>
  </si>
  <si>
    <t>$H$22:$M$22</t>
  </si>
  <si>
    <t>$P$22:$X$22</t>
  </si>
  <si>
    <t>$H$23:$J$23</t>
  </si>
  <si>
    <t>$K$23:$M$23</t>
  </si>
  <si>
    <t>$R$24:$X$24</t>
  </si>
  <si>
    <t>$P$25:$X$25</t>
  </si>
  <si>
    <t>$B$26:$C$26</t>
  </si>
  <si>
    <t>$D$26:$E$26</t>
  </si>
  <si>
    <t>$P$26:$X$26</t>
  </si>
  <si>
    <t>$H$27:$M$27</t>
  </si>
  <si>
    <t>$P$27:$X$27</t>
  </si>
  <si>
    <t>$D$29:$M$29</t>
  </si>
  <si>
    <t>$R$29:$X$29</t>
  </si>
  <si>
    <t>$N$29:$Q$29</t>
  </si>
  <si>
    <t>$D$30:$E$30</t>
  </si>
  <si>
    <t>$R$30:$X$30</t>
  </si>
  <si>
    <t>$N$30:$Q$30</t>
  </si>
  <si>
    <t>$B$32:$C$32</t>
  </si>
  <si>
    <t>$D$32:$E$32</t>
  </si>
  <si>
    <t>$H$32:$M$32</t>
  </si>
  <si>
    <t>$U$224:$AA$224</t>
  </si>
  <si>
    <t>$K$229:$M$230</t>
  </si>
  <si>
    <t>$N$232:$P$232</t>
  </si>
  <si>
    <t>$H$11:$J$11</t>
  </si>
  <si>
    <t>$K$11:$M$11</t>
  </si>
  <si>
    <t>$H$14:$J$14</t>
  </si>
  <si>
    <t>$H$24:$J$24</t>
  </si>
  <si>
    <t>$K$24:$M$24</t>
  </si>
  <si>
    <t>$K$25:$M$25</t>
  </si>
  <si>
    <t>$H$26:$J$26</t>
  </si>
  <si>
    <t>$R$32:$X$32</t>
  </si>
  <si>
    <t>Fair Deal</t>
  </si>
  <si>
    <t>$U$241:$AA$241</t>
  </si>
  <si>
    <t>IsInt</t>
  </si>
  <si>
    <t>$N$229:$P$229</t>
  </si>
  <si>
    <t>$B$21:$C$21</t>
  </si>
  <si>
    <t>Daily NCCT hh:mm</t>
  </si>
  <si>
    <t>Allocated</t>
  </si>
  <si>
    <t>Column1</t>
  </si>
  <si>
    <t>Allocatable Teaching Time</t>
  </si>
  <si>
    <t>Allocatable Teaching Time hh:mm</t>
  </si>
  <si>
    <t>LunchStartPeriod</t>
  </si>
  <si>
    <t>LunchEndPeriod</t>
  </si>
  <si>
    <t>Lunch Break</t>
  </si>
  <si>
    <t>Column2</t>
  </si>
  <si>
    <t>Column3</t>
  </si>
  <si>
    <t>Column4</t>
  </si>
  <si>
    <t>Column5</t>
  </si>
  <si>
    <t>Column6</t>
  </si>
  <si>
    <t>Column7</t>
  </si>
  <si>
    <t>James B</t>
  </si>
  <si>
    <t>Actions</t>
  </si>
  <si>
    <t>Action 1</t>
  </si>
  <si>
    <t>Action 2</t>
  </si>
  <si>
    <t>Action 3</t>
  </si>
  <si>
    <t>Action 4</t>
  </si>
  <si>
    <t>Action 5</t>
  </si>
  <si>
    <t>Contact Fair Deal 0141 123 4567</t>
  </si>
  <si>
    <t>Let Linda know that John C is not in her taxi</t>
  </si>
  <si>
    <t>James S</t>
  </si>
  <si>
    <t>Let Fran know Mathew is not in taxi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</si>
</sst>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7"/>
      <color rgb="FF252C2F"/>
      <name val="Arial"/>
      <family val="2"/>
    </font>
    <font>
      <b/>
      <sz val="11"/>
      <color theme="1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1" fillId="0" borderId="0" xfId="0" applyFont="1"/>
    <xf numFmtId="20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 wrapText="1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3" borderId="4" xfId="0" applyFont="1" applyFill="1" applyBorder="1"/>
    <xf numFmtId="0" fontId="2" fillId="0" borderId="1" xfId="0" applyFont="1" applyBorder="1"/>
    <xf numFmtId="0" fontId="2" fillId="2" borderId="4" xfId="0" applyFont="1" applyFill="1" applyBorder="1"/>
    <xf numFmtId="20" fontId="3" fillId="0" borderId="0" xfId="0" applyNumberFormat="1" applyFont="1" applyAlignment="1">
      <alignment horizontal="center"/>
    </xf>
    <xf numFmtId="0" fontId="3" fillId="0" borderId="0" xfId="0" applyFont="1"/>
    <xf numFmtId="0" fontId="2" fillId="0" borderId="0" xfId="0" applyFont="1" applyAlignment="1">
      <alignment horizontal="left"/>
    </xf>
    <xf numFmtId="0" fontId="2" fillId="0" borderId="4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2" fillId="0" borderId="0" xfId="0" applyFont="1" applyFill="1" applyBorder="1"/>
    <xf numFmtId="0" fontId="2" fillId="3" borderId="0" xfId="0" applyFont="1" applyFill="1" applyBorder="1"/>
    <xf numFmtId="0" fontId="2" fillId="3" borderId="1" xfId="0" applyFont="1" applyFill="1" applyBorder="1"/>
    <xf numFmtId="0" fontId="3" fillId="0" borderId="0" xfId="0" applyFont="1" applyBorder="1" applyAlignment="1">
      <alignment horizontal="center"/>
    </xf>
    <xf numFmtId="0" fontId="0" fillId="0" borderId="0" xfId="0" applyFill="1" applyAlignment="1">
      <alignment horizontal="center"/>
    </xf>
    <xf numFmtId="0" fontId="2" fillId="4" borderId="4" xfId="0" applyFont="1" applyFill="1" applyBorder="1"/>
    <xf numFmtId="0" fontId="2" fillId="3" borderId="8" xfId="0" applyFont="1" applyFill="1" applyBorder="1"/>
    <xf numFmtId="0" fontId="3" fillId="0" borderId="7" xfId="0" applyFont="1" applyBorder="1" applyAlignment="1">
      <alignment horizontal="center"/>
    </xf>
    <xf numFmtId="0" fontId="2" fillId="2" borderId="10" xfId="0" applyFont="1" applyFill="1" applyBorder="1"/>
    <xf numFmtId="0" fontId="2" fillId="2" borderId="12" xfId="0" applyFont="1" applyFill="1" applyBorder="1"/>
    <xf numFmtId="0" fontId="2" fillId="2" borderId="9" xfId="0" applyFont="1" applyFill="1" applyBorder="1"/>
    <xf numFmtId="0" fontId="2" fillId="2" borderId="13" xfId="0" applyFont="1" applyFill="1" applyBorder="1"/>
    <xf numFmtId="0" fontId="2" fillId="3" borderId="9" xfId="0" applyFont="1" applyFill="1" applyBorder="1"/>
    <xf numFmtId="0" fontId="2" fillId="3" borderId="13" xfId="0" applyFont="1" applyFill="1" applyBorder="1"/>
    <xf numFmtId="0" fontId="2" fillId="2" borderId="11" xfId="0" applyFont="1" applyFill="1" applyBorder="1"/>
    <xf numFmtId="0" fontId="2" fillId="4" borderId="9" xfId="0" applyFont="1" applyFill="1" applyBorder="1"/>
    <xf numFmtId="0" fontId="2" fillId="4" borderId="13" xfId="0" applyFont="1" applyFill="1" applyBorder="1"/>
    <xf numFmtId="0" fontId="2" fillId="3" borderId="10" xfId="0" applyFont="1" applyFill="1" applyBorder="1"/>
    <xf numFmtId="0" fontId="2" fillId="3" borderId="11" xfId="0" applyFont="1" applyFill="1" applyBorder="1"/>
    <xf numFmtId="0" fontId="2" fillId="3" borderId="12" xfId="0" applyFont="1" applyFill="1" applyBorder="1"/>
    <xf numFmtId="0" fontId="2" fillId="2" borderId="8" xfId="0" applyFont="1" applyFill="1" applyBorder="1"/>
    <xf numFmtId="0" fontId="2" fillId="2" borderId="1" xfId="0" applyFont="1" applyFill="1" applyBorder="1"/>
    <xf numFmtId="0" fontId="2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20" fontId="3" fillId="0" borderId="0" xfId="0" applyNumberFormat="1" applyFont="1" applyAlignment="1">
      <alignment horizontal="center" vertical="center"/>
    </xf>
    <xf numFmtId="20" fontId="3" fillId="0" borderId="0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20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0" fontId="4" fillId="0" borderId="0" xfId="0" applyFont="1"/>
    <xf numFmtId="2" fontId="0" fillId="0" borderId="0" xfId="0" applyNumberFormat="1"/>
    <xf numFmtId="0" fontId="5" fillId="0" borderId="0" xfId="0" applyFont="1"/>
    <xf numFmtId="0" fontId="2" fillId="3" borderId="14" xfId="0" applyFont="1" applyFill="1" applyBorder="1"/>
    <xf numFmtId="0" fontId="2" fillId="3" borderId="15" xfId="0" applyFont="1" applyFill="1" applyBorder="1"/>
    <xf numFmtId="0" fontId="2" fillId="3" borderId="16" xfId="0" applyFont="1" applyFill="1" applyBorder="1"/>
    <xf numFmtId="0" fontId="2" fillId="5" borderId="9" xfId="0" applyFont="1" applyFill="1" applyBorder="1"/>
    <xf numFmtId="0" fontId="2" fillId="5" borderId="13" xfId="0" applyFont="1" applyFill="1" applyBorder="1"/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2" borderId="14" xfId="0" applyFont="1" applyFill="1" applyBorder="1"/>
    <xf numFmtId="0" fontId="2" fillId="2" borderId="16" xfId="0" applyFont="1" applyFill="1" applyBorder="1"/>
    <xf numFmtId="0" fontId="2" fillId="2" borderId="15" xfId="0" applyFont="1" applyFill="1" applyBorder="1"/>
    <xf numFmtId="0" fontId="2" fillId="3" borderId="17" xfId="0" applyFont="1" applyFill="1" applyBorder="1"/>
    <xf numFmtId="0" fontId="2" fillId="3" borderId="18" xfId="0" applyFont="1" applyFill="1" applyBorder="1"/>
    <xf numFmtId="0" fontId="2" fillId="3" borderId="19" xfId="0" applyFont="1" applyFill="1" applyBorder="1"/>
    <xf numFmtId="0" fontId="2" fillId="6" borderId="18" xfId="0" applyFont="1" applyFill="1" applyBorder="1"/>
    <xf numFmtId="0" fontId="2" fillId="6" borderId="15" xfId="0" applyFont="1" applyFill="1" applyBorder="1"/>
  </cellXfs>
  <cellStyles count="1">
    <cellStyle name="Normal" xfId="0" builtinId="0"/>
  </cellStyles>
  <dxfs count="27"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25" formatCode="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numFmt numFmtId="25" formatCode="hh:mm"/>
    </dxf>
    <dxf>
      <numFmt numFmtId="25" formatCode="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610</xdr:row>
          <xdr:rowOff>88900</xdr:rowOff>
        </xdr:from>
        <xdr:to>
          <xdr:col>6</xdr:col>
          <xdr:colOff>76200</xdr:colOff>
          <xdr:row>612</xdr:row>
          <xdr:rowOff>120650</xdr:rowOff>
        </xdr:to>
        <xdr:sp macro="" textlink="">
          <xdr:nvSpPr>
            <xdr:cNvPr id="1027" name="CheckLessonIDsButt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255</xdr:row>
          <xdr:rowOff>31750</xdr:rowOff>
        </xdr:from>
        <xdr:to>
          <xdr:col>16</xdr:col>
          <xdr:colOff>203200</xdr:colOff>
          <xdr:row>258</xdr:row>
          <xdr:rowOff>88900</xdr:rowOff>
        </xdr:to>
        <xdr:sp macro="" textlink="">
          <xdr:nvSpPr>
            <xdr:cNvPr id="1032" name="PopulateTimeTableButton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6350</xdr:colOff>
          <xdr:row>407</xdr:row>
          <xdr:rowOff>120650</xdr:rowOff>
        </xdr:from>
        <xdr:to>
          <xdr:col>14</xdr:col>
          <xdr:colOff>285750</xdr:colOff>
          <xdr:row>410</xdr:row>
          <xdr:rowOff>57150</xdr:rowOff>
        </xdr:to>
        <xdr:sp macro="" textlink="">
          <xdr:nvSpPr>
            <xdr:cNvPr id="1034" name="CommandButton1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393700</xdr:colOff>
          <xdr:row>43</xdr:row>
          <xdr:rowOff>31750</xdr:rowOff>
        </xdr:from>
        <xdr:to>
          <xdr:col>3</xdr:col>
          <xdr:colOff>107950</xdr:colOff>
          <xdr:row>45</xdr:row>
          <xdr:rowOff>19050</xdr:rowOff>
        </xdr:to>
        <xdr:sp macro="" textlink="">
          <xdr:nvSpPr>
            <xdr:cNvPr id="2049" name="ClearButto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355600</xdr:colOff>
          <xdr:row>43</xdr:row>
          <xdr:rowOff>76200</xdr:rowOff>
        </xdr:from>
        <xdr:to>
          <xdr:col>8</xdr:col>
          <xdr:colOff>120650</xdr:colOff>
          <xdr:row>45</xdr:row>
          <xdr:rowOff>50800</xdr:rowOff>
        </xdr:to>
        <xdr:sp macro="" textlink="">
          <xdr:nvSpPr>
            <xdr:cNvPr id="2050" name="TeacherOverviewButton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0</xdr:row>
          <xdr:rowOff>165100</xdr:rowOff>
        </xdr:from>
        <xdr:to>
          <xdr:col>2</xdr:col>
          <xdr:colOff>368300</xdr:colOff>
          <xdr:row>2</xdr:row>
          <xdr:rowOff>31750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431800</xdr:colOff>
          <xdr:row>0</xdr:row>
          <xdr:rowOff>152400</xdr:rowOff>
        </xdr:from>
        <xdr:to>
          <xdr:col>4</xdr:col>
          <xdr:colOff>171450</xdr:colOff>
          <xdr:row>2</xdr:row>
          <xdr:rowOff>63500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0</xdr:row>
          <xdr:rowOff>50800</xdr:rowOff>
        </xdr:from>
        <xdr:to>
          <xdr:col>14</xdr:col>
          <xdr:colOff>228600</xdr:colOff>
          <xdr:row>2</xdr:row>
          <xdr:rowOff>82550</xdr:rowOff>
        </xdr:to>
        <xdr:sp macro="" textlink="">
          <xdr:nvSpPr>
            <xdr:cNvPr id="4100" name="ArrangeCoverButton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6" name="ClassroomsTable" displayName="ClassroomsTable" ref="V38:X51" totalsRowShown="0" headerRowDxfId="26">
  <autoFilter ref="V38:X51"/>
  <tableColumns count="3">
    <tableColumn id="1" name="Id"/>
    <tableColumn id="2" name="Name"/>
    <tableColumn id="3" name="Co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7" name="PeriodTable" displayName="PeriodTable" ref="AF6:AI32" totalsRowShown="0">
  <autoFilter ref="AF6:AI32"/>
  <tableColumns count="4">
    <tableColumn id="1" name="Period"/>
    <tableColumn id="2" name="Start Time" dataDxfId="25"/>
    <tableColumn id="3" name="Duration"/>
    <tableColumn id="4" name="End Time" dataDxfId="24">
      <calculatedColumnFormula>AG8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8" name="PupilTable" displayName="PupilTable" ref="B6:J28" totalsRowShown="0" headerRowDxfId="23" dataDxfId="22">
  <autoFilter ref="B6:J28"/>
  <tableColumns count="9">
    <tableColumn id="1" name="Pupil" dataDxfId="21"/>
    <tableColumn id="2" name="Class" dataDxfId="20"/>
    <tableColumn id="3" name="Id" dataDxfId="19"/>
    <tableColumn id="4" name="Actions" dataDxfId="5"/>
    <tableColumn id="5" name="Action 1" dataDxfId="4"/>
    <tableColumn id="6" name="Action 2" dataDxfId="3"/>
    <tableColumn id="7" name="Action 3" dataDxfId="2"/>
    <tableColumn id="8" name="Action 4" dataDxfId="1"/>
    <tableColumn id="9" name="Action 5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9" name="ClassTable" displayName="ClassTable" ref="H40:J46" totalsRowShown="0">
  <autoFilter ref="H40:J46"/>
  <tableColumns count="3">
    <tableColumn id="1" name="Class"/>
    <tableColumn id="2" name="Name"/>
    <tableColumn id="3" name="ShortCod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StaffTable" displayName="StaffTable" ref="N6:S30" totalsRowShown="0" headerRowDxfId="18" dataDxfId="17">
  <autoFilter ref="N6:S30"/>
  <tableColumns count="6">
    <tableColumn id="1" name="Staff" dataDxfId="16"/>
    <tableColumn id="2" name="Type" dataDxfId="15"/>
    <tableColumn id="3" name="ID" dataDxfId="14">
      <calculatedColumnFormula>P6+1</calculatedColumnFormula>
    </tableColumn>
    <tableColumn id="4" name="Row" dataDxfId="13"/>
    <tableColumn id="5" name="LunchStartPeriod" dataDxfId="12"/>
    <tableColumn id="6" name="LunchEndPeriod" dataDxfId="1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NonContractedStaffTable" displayName="NonContractedStaffTable" ref="AM6:AQ10" totalsRowShown="0" headerRowDxfId="10">
  <autoFilter ref="AM6:AQ10"/>
  <tableColumns count="5">
    <tableColumn id="1" name="Monday"/>
    <tableColumn id="2" name="Tuesday"/>
    <tableColumn id="3" name="Wednesday"/>
    <tableColumn id="4" name="Thursday"/>
    <tableColumn id="5" name="Friday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0" name="TeacherContactHourTable" displayName="TeacherContactHourTable" ref="T100:AC108" totalsRowShown="0" headerRowDxfId="9">
  <autoFilter ref="T100:AC108"/>
  <sortState ref="T101:AA108">
    <sortCondition ref="W100:W108"/>
  </sortState>
  <tableColumns count="10">
    <tableColumn id="1" name="Column1"/>
    <tableColumn id="2" name="Column2"/>
    <tableColumn id="3" name="Column3"/>
    <tableColumn id="4" name="Column4"/>
    <tableColumn id="5" name="Column5"/>
    <tableColumn id="6" name="Column6"/>
    <tableColumn id="7" name="Column7"/>
    <tableColumn id="8" name="Daily NCCT hh:mm" dataDxfId="8">
      <calculatedColumnFormula>Y101/24</calculatedColumnFormula>
    </tableColumn>
    <tableColumn id="9" name="Allocatable Teaching Time" dataDxfId="7">
      <calculatedColumnFormula>TeacherContactHourTable[[#This Row],[Column3]]-TeacherContactHourTable[[#This Row],[Column2]]</calculatedColumnFormula>
    </tableColumn>
    <tableColumn id="10" name="Allocatable Teaching Time hh:mm" dataDxfId="6">
      <calculatedColumnFormula>TeacherContactHourTable[[#This Row],[Allocatable Teaching Time]]/24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table" Target="../tables/table2.xml"/><Relationship Id="rId5" Type="http://schemas.openxmlformats.org/officeDocument/2006/relationships/image" Target="../media/image1.emf"/><Relationship Id="rId15" Type="http://schemas.openxmlformats.org/officeDocument/2006/relationships/table" Target="../tables/table6.xml"/><Relationship Id="rId10" Type="http://schemas.openxmlformats.org/officeDocument/2006/relationships/table" Target="../tables/table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FC435"/>
  <sheetViews>
    <sheetView topLeftCell="A236" zoomScaleNormal="100" workbookViewId="0">
      <selection activeCell="D82" sqref="D82"/>
    </sheetView>
  </sheetViews>
  <sheetFormatPr defaultRowHeight="14.5" x14ac:dyDescent="0.35"/>
  <cols>
    <col min="3" max="3" width="8.54296875" customWidth="1"/>
    <col min="4" max="4" width="8.81640625" customWidth="1"/>
    <col min="5" max="18" width="6.54296875" customWidth="1"/>
    <col min="19" max="19" width="7.54296875" customWidth="1"/>
    <col min="20" max="30" width="6.54296875" customWidth="1"/>
  </cols>
  <sheetData>
    <row r="4" spans="1:43" ht="15" x14ac:dyDescent="0.25">
      <c r="C4" s="1"/>
      <c r="D4" s="1"/>
      <c r="E4" s="1"/>
      <c r="F4" s="1"/>
      <c r="G4" s="1"/>
      <c r="AM4" t="s">
        <v>133</v>
      </c>
    </row>
    <row r="5" spans="1:43" ht="15.75" thickBot="1" x14ac:dyDescent="0.3"/>
    <row r="6" spans="1:43" ht="15" thickBot="1" x14ac:dyDescent="0.4">
      <c r="B6" s="7" t="s">
        <v>48</v>
      </c>
      <c r="C6" s="7" t="s">
        <v>49</v>
      </c>
      <c r="D6" s="7" t="s">
        <v>20</v>
      </c>
      <c r="E6" s="7" t="s">
        <v>295</v>
      </c>
      <c r="F6" s="7" t="s">
        <v>296</v>
      </c>
      <c r="G6" s="7" t="s">
        <v>297</v>
      </c>
      <c r="H6" s="17" t="s">
        <v>298</v>
      </c>
      <c r="I6" s="17" t="s">
        <v>299</v>
      </c>
      <c r="J6" s="17" t="s">
        <v>300</v>
      </c>
      <c r="K6" s="17"/>
      <c r="L6" s="17"/>
      <c r="M6" s="17"/>
      <c r="N6" s="15" t="s">
        <v>115</v>
      </c>
      <c r="O6" s="16" t="s">
        <v>126</v>
      </c>
      <c r="P6" s="8" t="s">
        <v>127</v>
      </c>
      <c r="Q6" s="8" t="s">
        <v>131</v>
      </c>
      <c r="R6" s="8" t="s">
        <v>285</v>
      </c>
      <c r="S6" s="8" t="s">
        <v>286</v>
      </c>
      <c r="T6" s="7"/>
      <c r="U6" s="7"/>
      <c r="V6" s="7"/>
      <c r="W6" s="7"/>
      <c r="X6" s="7"/>
      <c r="Y6" s="7"/>
      <c r="Z6" s="7"/>
      <c r="AF6" t="s">
        <v>45</v>
      </c>
      <c r="AG6" t="s">
        <v>46</v>
      </c>
      <c r="AH6" t="s">
        <v>47</v>
      </c>
      <c r="AI6" t="s">
        <v>211</v>
      </c>
      <c r="AM6" s="1" t="s">
        <v>56</v>
      </c>
      <c r="AN6" s="1" t="s">
        <v>57</v>
      </c>
      <c r="AO6" s="1" t="s">
        <v>134</v>
      </c>
      <c r="AP6" s="1" t="s">
        <v>135</v>
      </c>
      <c r="AQ6" s="1" t="s">
        <v>136</v>
      </c>
    </row>
    <row r="7" spans="1:43" ht="15" x14ac:dyDescent="0.25">
      <c r="A7" s="5"/>
      <c r="B7" s="7" t="s">
        <v>148</v>
      </c>
      <c r="C7" s="7">
        <v>1</v>
      </c>
      <c r="D7" s="7">
        <v>1</v>
      </c>
      <c r="E7" s="7">
        <v>2</v>
      </c>
      <c r="F7" s="7" t="s">
        <v>301</v>
      </c>
      <c r="G7" s="7" t="s">
        <v>302</v>
      </c>
      <c r="H7" s="7"/>
      <c r="I7" s="7"/>
      <c r="J7" s="7"/>
      <c r="K7" s="7"/>
      <c r="L7" s="7"/>
      <c r="M7" s="7"/>
      <c r="N7" s="14" t="s">
        <v>116</v>
      </c>
      <c r="O7" s="14" t="s">
        <v>128</v>
      </c>
      <c r="P7" s="8">
        <v>1</v>
      </c>
      <c r="Q7" s="7">
        <v>6</v>
      </c>
      <c r="R7" s="7">
        <v>21</v>
      </c>
      <c r="S7" s="7">
        <v>22</v>
      </c>
      <c r="T7" s="7"/>
      <c r="U7" s="7"/>
      <c r="V7" s="7"/>
      <c r="W7" s="7"/>
      <c r="X7" s="7"/>
      <c r="Y7" s="7"/>
      <c r="Z7" s="7"/>
      <c r="AF7">
        <v>1</v>
      </c>
      <c r="AG7" s="2">
        <v>0.375</v>
      </c>
      <c r="AH7">
        <v>15</v>
      </c>
      <c r="AI7" s="2">
        <f t="shared" ref="AI7:AI31" si="0">AG8</f>
        <v>0.38541666666666669</v>
      </c>
      <c r="AM7" t="s">
        <v>117</v>
      </c>
      <c r="AQ7" t="s">
        <v>117</v>
      </c>
    </row>
    <row r="8" spans="1:43" ht="15" x14ac:dyDescent="0.25">
      <c r="A8" s="5"/>
      <c r="B8" s="7" t="s">
        <v>1</v>
      </c>
      <c r="C8" s="7">
        <v>1</v>
      </c>
      <c r="D8" s="7">
        <v>2</v>
      </c>
      <c r="E8" s="7">
        <v>1</v>
      </c>
      <c r="F8" s="7"/>
      <c r="G8" s="7"/>
      <c r="H8" s="7"/>
      <c r="I8" s="7"/>
      <c r="J8" s="7"/>
      <c r="K8" s="7"/>
      <c r="L8" s="7"/>
      <c r="M8" s="7"/>
      <c r="N8" s="14" t="s">
        <v>75</v>
      </c>
      <c r="O8" s="14" t="s">
        <v>128</v>
      </c>
      <c r="P8" s="8">
        <f>P7+1</f>
        <v>2</v>
      </c>
      <c r="Q8" s="7">
        <v>7</v>
      </c>
      <c r="R8" s="7">
        <v>15</v>
      </c>
      <c r="S8" s="7">
        <v>16</v>
      </c>
      <c r="T8" s="7"/>
      <c r="U8" s="7"/>
      <c r="V8" s="7"/>
      <c r="W8" s="7"/>
      <c r="X8" s="7"/>
      <c r="Y8" s="7"/>
      <c r="Z8" s="7"/>
      <c r="AF8">
        <v>2</v>
      </c>
      <c r="AG8" s="2">
        <v>0.38541666666666669</v>
      </c>
      <c r="AH8">
        <v>15</v>
      </c>
      <c r="AI8" s="2">
        <f t="shared" si="0"/>
        <v>0.39583333333333298</v>
      </c>
      <c r="AM8" t="s">
        <v>118</v>
      </c>
      <c r="AO8" t="s">
        <v>118</v>
      </c>
      <c r="AP8" t="s">
        <v>118</v>
      </c>
      <c r="AQ8" t="s">
        <v>118</v>
      </c>
    </row>
    <row r="9" spans="1:43" ht="15" x14ac:dyDescent="0.25">
      <c r="A9" s="5"/>
      <c r="B9" s="7" t="s">
        <v>3</v>
      </c>
      <c r="C9" s="7">
        <v>1</v>
      </c>
      <c r="D9" s="7">
        <v>3</v>
      </c>
      <c r="E9" s="7">
        <v>0</v>
      </c>
      <c r="F9" s="7"/>
      <c r="G9" s="7"/>
      <c r="H9" s="7"/>
      <c r="I9" s="7"/>
      <c r="J9" s="7"/>
      <c r="K9" s="7"/>
      <c r="L9" s="7"/>
      <c r="M9" s="7"/>
      <c r="N9" s="14" t="s">
        <v>117</v>
      </c>
      <c r="O9" s="14" t="s">
        <v>128</v>
      </c>
      <c r="P9" s="8">
        <f t="shared" ref="P9:P29" si="1">P8+1</f>
        <v>3</v>
      </c>
      <c r="Q9" s="7">
        <v>8</v>
      </c>
      <c r="R9" s="7"/>
      <c r="S9" s="7"/>
      <c r="T9" s="7"/>
      <c r="U9" s="7"/>
      <c r="V9" s="7"/>
      <c r="W9" s="7"/>
      <c r="X9" s="7"/>
      <c r="Y9" s="7"/>
      <c r="Z9" s="7"/>
      <c r="AF9">
        <v>3</v>
      </c>
      <c r="AG9" s="2">
        <v>0.39583333333333298</v>
      </c>
      <c r="AH9">
        <v>15</v>
      </c>
      <c r="AI9" s="2">
        <f t="shared" si="0"/>
        <v>0.40625</v>
      </c>
      <c r="AM9" t="s">
        <v>120</v>
      </c>
      <c r="AN9" t="s">
        <v>120</v>
      </c>
      <c r="AO9" t="s">
        <v>120</v>
      </c>
      <c r="AP9" t="s">
        <v>120</v>
      </c>
      <c r="AQ9" t="s">
        <v>120</v>
      </c>
    </row>
    <row r="10" spans="1:43" ht="15" x14ac:dyDescent="0.25">
      <c r="A10" s="5"/>
      <c r="B10" s="7" t="s">
        <v>2</v>
      </c>
      <c r="C10" s="7">
        <v>1</v>
      </c>
      <c r="D10" s="7">
        <v>4</v>
      </c>
      <c r="E10" s="7">
        <v>2</v>
      </c>
      <c r="F10" s="7" t="s">
        <v>301</v>
      </c>
      <c r="G10" s="7" t="s">
        <v>304</v>
      </c>
      <c r="H10" s="7"/>
      <c r="I10" s="7"/>
      <c r="J10" s="7"/>
      <c r="K10" s="7"/>
      <c r="L10" s="7"/>
      <c r="M10" s="7"/>
      <c r="N10" s="14" t="s">
        <v>118</v>
      </c>
      <c r="O10" s="14" t="s">
        <v>128</v>
      </c>
      <c r="P10" s="8">
        <f t="shared" si="1"/>
        <v>4</v>
      </c>
      <c r="Q10" s="7">
        <v>9</v>
      </c>
      <c r="R10" s="7"/>
      <c r="S10" s="7"/>
      <c r="T10" s="7"/>
      <c r="U10" s="7"/>
      <c r="V10" s="7"/>
      <c r="W10" s="7"/>
      <c r="X10" s="7"/>
      <c r="Y10" s="7"/>
      <c r="Z10" s="7"/>
      <c r="AF10">
        <v>4</v>
      </c>
      <c r="AG10" s="2">
        <v>0.40625</v>
      </c>
      <c r="AH10">
        <v>15</v>
      </c>
      <c r="AI10" s="2">
        <f t="shared" si="0"/>
        <v>0.41666666666666702</v>
      </c>
      <c r="AQ10" t="s">
        <v>80</v>
      </c>
    </row>
    <row r="11" spans="1:43" ht="15" x14ac:dyDescent="0.25">
      <c r="A11" s="5"/>
      <c r="B11" s="7" t="s">
        <v>4</v>
      </c>
      <c r="C11" s="7">
        <v>1</v>
      </c>
      <c r="D11" s="7">
        <v>5</v>
      </c>
      <c r="E11" s="7">
        <v>0</v>
      </c>
      <c r="F11" s="7"/>
      <c r="G11" s="7"/>
      <c r="H11" s="7"/>
      <c r="I11" s="7"/>
      <c r="J11" s="7"/>
      <c r="K11" s="7"/>
      <c r="L11" s="7"/>
      <c r="M11" s="7"/>
      <c r="N11" s="14" t="s">
        <v>83</v>
      </c>
      <c r="O11" s="14" t="s">
        <v>128</v>
      </c>
      <c r="P11" s="8">
        <f t="shared" si="1"/>
        <v>5</v>
      </c>
      <c r="Q11" s="7">
        <v>10</v>
      </c>
      <c r="R11" s="7">
        <v>13</v>
      </c>
      <c r="S11" s="7">
        <v>14</v>
      </c>
      <c r="T11" s="7"/>
      <c r="U11" s="7"/>
      <c r="V11" s="7"/>
      <c r="W11" s="7"/>
      <c r="X11" s="7"/>
      <c r="Y11" s="7"/>
      <c r="Z11" s="7"/>
      <c r="AF11">
        <v>5</v>
      </c>
      <c r="AG11" s="2">
        <v>0.41666666666666702</v>
      </c>
      <c r="AH11">
        <v>10</v>
      </c>
      <c r="AI11" s="2">
        <f t="shared" si="0"/>
        <v>0.4236111111111111</v>
      </c>
    </row>
    <row r="12" spans="1:43" ht="15" x14ac:dyDescent="0.25">
      <c r="A12" s="5"/>
      <c r="B12" s="7" t="s">
        <v>146</v>
      </c>
      <c r="C12" s="7">
        <v>2</v>
      </c>
      <c r="D12" s="7">
        <v>6</v>
      </c>
      <c r="E12" s="7">
        <v>2</v>
      </c>
      <c r="F12" s="7" t="s">
        <v>301</v>
      </c>
      <c r="G12" s="7" t="s">
        <v>304</v>
      </c>
      <c r="H12" s="7"/>
      <c r="I12" s="7"/>
      <c r="J12" s="7"/>
      <c r="K12" s="7"/>
      <c r="L12" s="7"/>
      <c r="M12" s="7"/>
      <c r="N12" s="14" t="s">
        <v>79</v>
      </c>
      <c r="O12" s="14" t="s">
        <v>128</v>
      </c>
      <c r="P12" s="8">
        <f t="shared" si="1"/>
        <v>6</v>
      </c>
      <c r="Q12" s="7">
        <v>11</v>
      </c>
      <c r="R12" s="7">
        <v>15</v>
      </c>
      <c r="S12" s="7">
        <v>16</v>
      </c>
      <c r="T12" s="7"/>
      <c r="U12" s="7"/>
      <c r="V12" s="7"/>
      <c r="W12" s="7"/>
      <c r="X12" s="7"/>
      <c r="Y12" s="7"/>
      <c r="Z12" s="7"/>
      <c r="AF12">
        <v>6</v>
      </c>
      <c r="AG12" s="2">
        <v>0.4236111111111111</v>
      </c>
      <c r="AH12">
        <v>10</v>
      </c>
      <c r="AI12" s="2">
        <f t="shared" si="0"/>
        <v>0.43055555555555558</v>
      </c>
    </row>
    <row r="13" spans="1:43" ht="15" x14ac:dyDescent="0.25">
      <c r="A13" s="5"/>
      <c r="B13" s="7" t="s">
        <v>147</v>
      </c>
      <c r="C13" s="7">
        <v>2</v>
      </c>
      <c r="D13" s="7">
        <v>7</v>
      </c>
      <c r="E13" s="7">
        <v>0</v>
      </c>
      <c r="F13" s="7"/>
      <c r="G13" s="7"/>
      <c r="H13" s="7"/>
      <c r="I13" s="7"/>
      <c r="J13" s="7"/>
      <c r="K13" s="7"/>
      <c r="L13" s="7"/>
      <c r="M13" s="7"/>
      <c r="N13" s="14" t="s">
        <v>73</v>
      </c>
      <c r="O13" s="14" t="s">
        <v>128</v>
      </c>
      <c r="P13" s="8">
        <f t="shared" si="1"/>
        <v>7</v>
      </c>
      <c r="Q13" s="7">
        <v>12</v>
      </c>
      <c r="R13" s="7">
        <v>13</v>
      </c>
      <c r="S13" s="7">
        <v>14</v>
      </c>
      <c r="T13" s="7"/>
      <c r="U13" s="7"/>
      <c r="V13" s="7"/>
      <c r="W13" s="7"/>
      <c r="X13" s="7"/>
      <c r="Y13" s="7"/>
      <c r="Z13" s="7"/>
      <c r="AF13">
        <v>7</v>
      </c>
      <c r="AG13" s="2">
        <v>0.43055555555555558</v>
      </c>
      <c r="AH13">
        <v>10</v>
      </c>
      <c r="AI13" s="2">
        <f t="shared" si="0"/>
        <v>0.4375</v>
      </c>
    </row>
    <row r="14" spans="1:43" ht="15" x14ac:dyDescent="0.25">
      <c r="A14" s="5"/>
      <c r="B14" s="7" t="s">
        <v>105</v>
      </c>
      <c r="C14" s="7">
        <v>2</v>
      </c>
      <c r="D14" s="7">
        <v>8</v>
      </c>
      <c r="E14" s="7">
        <v>0</v>
      </c>
      <c r="F14" s="7"/>
      <c r="G14" s="7"/>
      <c r="H14" s="7"/>
      <c r="I14" s="7"/>
      <c r="J14" s="7"/>
      <c r="K14" s="7"/>
      <c r="L14" s="7"/>
      <c r="M14" s="7"/>
      <c r="N14" s="14" t="s">
        <v>77</v>
      </c>
      <c r="O14" s="14" t="s">
        <v>122</v>
      </c>
      <c r="P14" s="8">
        <f t="shared" si="1"/>
        <v>8</v>
      </c>
      <c r="Q14" s="7">
        <v>14</v>
      </c>
      <c r="R14" s="7">
        <v>13</v>
      </c>
      <c r="S14" s="7">
        <v>14</v>
      </c>
      <c r="T14" s="7"/>
      <c r="U14" s="7"/>
      <c r="V14" s="7"/>
      <c r="W14" s="7"/>
      <c r="X14" s="7"/>
      <c r="Y14" s="7"/>
      <c r="Z14" s="7"/>
      <c r="AF14">
        <v>8</v>
      </c>
      <c r="AG14" s="2">
        <v>0.4375</v>
      </c>
      <c r="AH14">
        <v>10</v>
      </c>
      <c r="AI14" s="2">
        <f t="shared" si="0"/>
        <v>0.44444444444444442</v>
      </c>
    </row>
    <row r="15" spans="1:43" ht="15" x14ac:dyDescent="0.25">
      <c r="A15" s="5"/>
      <c r="B15" s="7" t="s">
        <v>149</v>
      </c>
      <c r="C15" s="7">
        <v>2</v>
      </c>
      <c r="D15" s="7">
        <v>9</v>
      </c>
      <c r="E15" s="7">
        <v>0</v>
      </c>
      <c r="F15" s="7"/>
      <c r="G15" s="7"/>
      <c r="H15" s="7"/>
      <c r="I15" s="7"/>
      <c r="J15" s="7"/>
      <c r="K15" s="7"/>
      <c r="L15" s="7"/>
      <c r="M15" s="7"/>
      <c r="N15" s="14" t="s">
        <v>120</v>
      </c>
      <c r="O15" s="14" t="s">
        <v>122</v>
      </c>
      <c r="P15" s="8">
        <f t="shared" si="1"/>
        <v>9</v>
      </c>
      <c r="Q15" s="7">
        <v>15</v>
      </c>
      <c r="R15" s="7">
        <v>14</v>
      </c>
      <c r="S15" s="7">
        <v>15</v>
      </c>
      <c r="T15" s="7"/>
      <c r="U15" s="7"/>
      <c r="V15" s="7"/>
      <c r="W15" s="7"/>
      <c r="X15" s="7"/>
      <c r="Y15" s="7"/>
      <c r="Z15" s="7"/>
      <c r="AF15">
        <v>9</v>
      </c>
      <c r="AG15" s="2">
        <v>0.44444444444444442</v>
      </c>
      <c r="AH15">
        <v>20</v>
      </c>
      <c r="AI15" s="2">
        <f t="shared" si="0"/>
        <v>0.45833333333333331</v>
      </c>
    </row>
    <row r="16" spans="1:43" ht="15" x14ac:dyDescent="0.25">
      <c r="A16" s="5"/>
      <c r="B16" s="7" t="s">
        <v>6</v>
      </c>
      <c r="C16" s="7">
        <v>2</v>
      </c>
      <c r="D16" s="7">
        <v>10</v>
      </c>
      <c r="E16" s="7">
        <v>0</v>
      </c>
      <c r="F16" s="7"/>
      <c r="G16" s="7"/>
      <c r="H16" s="7"/>
      <c r="I16" s="7"/>
      <c r="J16" s="7"/>
      <c r="K16" s="7"/>
      <c r="L16" s="7"/>
      <c r="M16" s="7"/>
      <c r="N16" s="14" t="s">
        <v>74</v>
      </c>
      <c r="O16" s="14" t="s">
        <v>122</v>
      </c>
      <c r="P16" s="8">
        <f t="shared" si="1"/>
        <v>10</v>
      </c>
      <c r="Q16" s="7">
        <v>16</v>
      </c>
      <c r="R16" s="7">
        <v>13</v>
      </c>
      <c r="S16" s="7">
        <v>14</v>
      </c>
      <c r="T16" s="7"/>
      <c r="U16" s="7"/>
      <c r="V16" s="7"/>
      <c r="W16" s="7"/>
      <c r="X16" s="7"/>
      <c r="Y16" s="7"/>
      <c r="Z16" s="7"/>
      <c r="AF16">
        <v>10</v>
      </c>
      <c r="AG16" s="2">
        <v>0.45833333333333331</v>
      </c>
      <c r="AH16">
        <v>20</v>
      </c>
      <c r="AI16" s="2">
        <f t="shared" si="0"/>
        <v>0.47222222222222227</v>
      </c>
    </row>
    <row r="17" spans="1:35" ht="15" x14ac:dyDescent="0.25">
      <c r="A17" s="5"/>
      <c r="B17" s="7" t="s">
        <v>8</v>
      </c>
      <c r="C17" s="7">
        <v>3</v>
      </c>
      <c r="D17" s="7">
        <v>11</v>
      </c>
      <c r="E17" s="7">
        <v>0</v>
      </c>
      <c r="F17" s="7"/>
      <c r="G17" s="7"/>
      <c r="H17" s="7"/>
      <c r="I17" s="7"/>
      <c r="J17" s="7"/>
      <c r="K17" s="7"/>
      <c r="L17" s="7"/>
      <c r="M17" s="7"/>
      <c r="N17" s="14" t="s">
        <v>76</v>
      </c>
      <c r="O17" s="14" t="s">
        <v>122</v>
      </c>
      <c r="P17" s="8">
        <f t="shared" si="1"/>
        <v>11</v>
      </c>
      <c r="Q17" s="7">
        <v>17</v>
      </c>
      <c r="R17" s="7">
        <v>14</v>
      </c>
      <c r="S17" s="7">
        <v>15</v>
      </c>
      <c r="T17" s="7"/>
      <c r="U17" s="7"/>
      <c r="V17" s="7"/>
      <c r="W17" s="7"/>
      <c r="X17" s="7"/>
      <c r="Y17" s="7"/>
      <c r="Z17" s="7"/>
      <c r="AF17">
        <v>11</v>
      </c>
      <c r="AG17" s="2">
        <v>0.47222222222222227</v>
      </c>
      <c r="AH17">
        <v>20</v>
      </c>
      <c r="AI17" s="2">
        <f t="shared" si="0"/>
        <v>0.4861111111111111</v>
      </c>
    </row>
    <row r="18" spans="1:35" ht="15" x14ac:dyDescent="0.25">
      <c r="A18" s="5"/>
      <c r="B18" s="7" t="s">
        <v>9</v>
      </c>
      <c r="C18" s="7">
        <v>3</v>
      </c>
      <c r="D18" s="7">
        <v>12</v>
      </c>
      <c r="E18" s="7">
        <v>0</v>
      </c>
      <c r="F18" s="7"/>
      <c r="G18" s="7"/>
      <c r="H18" s="7"/>
      <c r="I18" s="7"/>
      <c r="J18" s="7"/>
      <c r="K18" s="7"/>
      <c r="L18" s="7"/>
      <c r="M18" s="7"/>
      <c r="N18" s="14" t="s">
        <v>119</v>
      </c>
      <c r="O18" s="14" t="s">
        <v>122</v>
      </c>
      <c r="P18" s="8">
        <f t="shared" si="1"/>
        <v>12</v>
      </c>
      <c r="Q18" s="7">
        <v>18</v>
      </c>
      <c r="R18" s="7">
        <v>15</v>
      </c>
      <c r="S18" s="7">
        <v>16</v>
      </c>
      <c r="T18" s="7"/>
      <c r="U18" s="7"/>
      <c r="V18" s="7"/>
      <c r="W18" s="7"/>
      <c r="X18" s="7"/>
      <c r="Y18" s="7"/>
      <c r="Z18" s="7"/>
      <c r="AF18">
        <v>12</v>
      </c>
      <c r="AG18" s="2">
        <v>0.4861111111111111</v>
      </c>
      <c r="AH18">
        <v>20</v>
      </c>
      <c r="AI18" s="2">
        <f t="shared" si="0"/>
        <v>0.5</v>
      </c>
    </row>
    <row r="19" spans="1:35" ht="15" x14ac:dyDescent="0.25">
      <c r="A19" s="5"/>
      <c r="B19" s="7" t="s">
        <v>10</v>
      </c>
      <c r="C19" s="7">
        <v>3</v>
      </c>
      <c r="D19" s="7">
        <v>13</v>
      </c>
      <c r="E19" s="7">
        <v>0</v>
      </c>
      <c r="F19" s="7"/>
      <c r="G19" s="7"/>
      <c r="H19" s="7"/>
      <c r="I19" s="7"/>
      <c r="J19" s="7"/>
      <c r="K19" s="7"/>
      <c r="L19" s="7"/>
      <c r="M19" s="7"/>
      <c r="N19" s="14" t="s">
        <v>69</v>
      </c>
      <c r="O19" s="14" t="s">
        <v>129</v>
      </c>
      <c r="P19" s="8">
        <f t="shared" si="1"/>
        <v>13</v>
      </c>
      <c r="Q19" s="7">
        <v>20</v>
      </c>
      <c r="R19" s="7">
        <v>15</v>
      </c>
      <c r="S19" s="7">
        <v>16</v>
      </c>
      <c r="T19" s="7"/>
      <c r="U19" s="7"/>
      <c r="V19" s="7"/>
      <c r="W19" s="7"/>
      <c r="X19" s="7"/>
      <c r="Y19" s="7"/>
      <c r="Z19" s="7"/>
      <c r="AF19">
        <v>13</v>
      </c>
      <c r="AG19" s="2">
        <v>0.5</v>
      </c>
      <c r="AH19">
        <v>15</v>
      </c>
      <c r="AI19" s="2">
        <f t="shared" si="0"/>
        <v>0.51041666666666696</v>
      </c>
    </row>
    <row r="20" spans="1:35" ht="15" x14ac:dyDescent="0.25">
      <c r="A20" s="5"/>
      <c r="B20" s="7" t="s">
        <v>11</v>
      </c>
      <c r="C20" s="7">
        <v>3</v>
      </c>
      <c r="D20" s="7">
        <v>14</v>
      </c>
      <c r="E20" s="7">
        <v>0</v>
      </c>
      <c r="F20" s="7"/>
      <c r="G20" s="7"/>
      <c r="H20" s="7"/>
      <c r="I20" s="7"/>
      <c r="J20" s="7"/>
      <c r="K20" s="7"/>
      <c r="L20" s="7"/>
      <c r="M20" s="7"/>
      <c r="N20" s="14" t="s">
        <v>185</v>
      </c>
      <c r="O20" s="14" t="s">
        <v>129</v>
      </c>
      <c r="P20" s="8">
        <f t="shared" si="1"/>
        <v>14</v>
      </c>
      <c r="Q20" s="7">
        <v>21</v>
      </c>
      <c r="R20" s="7">
        <v>21</v>
      </c>
      <c r="S20" s="7">
        <v>22</v>
      </c>
      <c r="T20" s="7"/>
      <c r="U20" s="7"/>
      <c r="V20" s="7"/>
      <c r="W20" s="7"/>
      <c r="X20" s="7"/>
      <c r="Y20" s="7"/>
      <c r="Z20" s="7"/>
      <c r="AF20">
        <v>14</v>
      </c>
      <c r="AG20" s="2">
        <v>0.51041666666666696</v>
      </c>
      <c r="AH20">
        <v>15</v>
      </c>
      <c r="AI20" s="2">
        <f t="shared" si="0"/>
        <v>0.52083333333333404</v>
      </c>
    </row>
    <row r="21" spans="1:35" ht="15" x14ac:dyDescent="0.25">
      <c r="A21" s="5"/>
      <c r="B21" s="7" t="s">
        <v>303</v>
      </c>
      <c r="C21" s="7">
        <v>3</v>
      </c>
      <c r="D21" s="7">
        <v>15</v>
      </c>
      <c r="E21" s="7">
        <v>0</v>
      </c>
      <c r="F21" s="7"/>
      <c r="G21" s="7"/>
      <c r="H21" s="7"/>
      <c r="I21" s="7"/>
      <c r="J21" s="7"/>
      <c r="K21" s="7"/>
      <c r="L21" s="7"/>
      <c r="M21" s="7"/>
      <c r="N21" s="14" t="s">
        <v>72</v>
      </c>
      <c r="O21" s="14" t="s">
        <v>129</v>
      </c>
      <c r="P21" s="8">
        <f t="shared" si="1"/>
        <v>15</v>
      </c>
      <c r="Q21" s="7">
        <v>22</v>
      </c>
      <c r="R21" s="7">
        <v>13</v>
      </c>
      <c r="S21" s="7">
        <v>14</v>
      </c>
      <c r="T21" s="7"/>
      <c r="U21" s="7"/>
      <c r="V21" s="7"/>
      <c r="W21" s="7"/>
      <c r="X21" s="7"/>
      <c r="Y21" s="7"/>
      <c r="Z21" s="7"/>
      <c r="AF21">
        <v>15</v>
      </c>
      <c r="AG21" s="2">
        <v>0.52083333333333404</v>
      </c>
      <c r="AH21">
        <v>15</v>
      </c>
      <c r="AI21" s="2">
        <f t="shared" si="0"/>
        <v>0.53125</v>
      </c>
    </row>
    <row r="22" spans="1:35" ht="15" x14ac:dyDescent="0.25">
      <c r="A22" s="5"/>
      <c r="B22" s="7" t="s">
        <v>150</v>
      </c>
      <c r="C22" s="7">
        <v>4</v>
      </c>
      <c r="D22" s="7">
        <v>16</v>
      </c>
      <c r="E22" s="7">
        <v>0</v>
      </c>
      <c r="F22" s="7"/>
      <c r="G22" s="7"/>
      <c r="H22" s="7"/>
      <c r="I22" s="7"/>
      <c r="J22" s="7"/>
      <c r="K22" s="7"/>
      <c r="L22" s="7"/>
      <c r="M22" s="7"/>
      <c r="N22" s="14" t="s">
        <v>71</v>
      </c>
      <c r="O22" s="14" t="s">
        <v>129</v>
      </c>
      <c r="P22" s="8">
        <f t="shared" si="1"/>
        <v>16</v>
      </c>
      <c r="Q22" s="7">
        <v>23</v>
      </c>
      <c r="R22" s="7">
        <v>13</v>
      </c>
      <c r="S22" s="7">
        <v>14</v>
      </c>
      <c r="T22" s="7"/>
      <c r="U22" s="7"/>
      <c r="V22" s="7"/>
      <c r="W22" s="7"/>
      <c r="X22" s="7"/>
      <c r="Y22" s="7"/>
      <c r="Z22" s="7"/>
      <c r="AF22">
        <v>16</v>
      </c>
      <c r="AG22" s="2">
        <v>0.53125</v>
      </c>
      <c r="AH22">
        <v>15</v>
      </c>
      <c r="AI22" s="2">
        <f t="shared" si="0"/>
        <v>0.54166666666666696</v>
      </c>
    </row>
    <row r="23" spans="1:35" ht="15" x14ac:dyDescent="0.25">
      <c r="A23" s="5"/>
      <c r="B23" s="7" t="s">
        <v>17</v>
      </c>
      <c r="C23" s="7">
        <v>5</v>
      </c>
      <c r="D23" s="7">
        <v>17</v>
      </c>
      <c r="E23" s="7">
        <v>0</v>
      </c>
      <c r="F23" s="7"/>
      <c r="G23" s="7"/>
      <c r="H23" s="7"/>
      <c r="I23" s="7"/>
      <c r="J23" s="7"/>
      <c r="K23" s="7"/>
      <c r="L23" s="7"/>
      <c r="M23" s="7"/>
      <c r="N23" s="14" t="s">
        <v>70</v>
      </c>
      <c r="O23" s="14" t="s">
        <v>129</v>
      </c>
      <c r="P23" s="8">
        <f t="shared" si="1"/>
        <v>17</v>
      </c>
      <c r="Q23" s="7">
        <v>24</v>
      </c>
      <c r="R23" s="7">
        <v>13</v>
      </c>
      <c r="S23" s="7">
        <v>14</v>
      </c>
      <c r="T23" s="7"/>
      <c r="U23" s="7"/>
      <c r="V23" s="7"/>
      <c r="W23" s="7"/>
      <c r="X23" s="7"/>
      <c r="Y23" s="7"/>
      <c r="Z23" s="7"/>
      <c r="AF23">
        <v>17</v>
      </c>
      <c r="AG23" s="2">
        <v>0.54166666666666696</v>
      </c>
      <c r="AH23">
        <v>20</v>
      </c>
      <c r="AI23" s="2">
        <f t="shared" si="0"/>
        <v>0.55555555555555558</v>
      </c>
    </row>
    <row r="24" spans="1:35" ht="15" x14ac:dyDescent="0.25">
      <c r="A24" s="5"/>
      <c r="B24" s="7" t="s">
        <v>16</v>
      </c>
      <c r="C24" s="7">
        <v>5</v>
      </c>
      <c r="D24" s="7">
        <v>18</v>
      </c>
      <c r="E24" s="7">
        <v>0</v>
      </c>
      <c r="F24" s="7"/>
      <c r="G24" s="7"/>
      <c r="H24" s="7"/>
      <c r="I24" s="7"/>
      <c r="J24" s="7"/>
      <c r="K24" s="7"/>
      <c r="L24" s="7"/>
      <c r="M24" s="7"/>
      <c r="N24" s="14" t="s">
        <v>82</v>
      </c>
      <c r="O24" s="14" t="s">
        <v>129</v>
      </c>
      <c r="P24" s="8">
        <f t="shared" si="1"/>
        <v>18</v>
      </c>
      <c r="Q24" s="7">
        <v>25</v>
      </c>
      <c r="R24" s="7">
        <v>13</v>
      </c>
      <c r="S24" s="7">
        <v>14</v>
      </c>
      <c r="T24" s="7"/>
      <c r="U24" s="7"/>
      <c r="V24" s="7"/>
      <c r="W24" s="7"/>
      <c r="X24" s="7"/>
      <c r="Y24" s="7"/>
      <c r="Z24" s="7"/>
      <c r="AF24">
        <v>18</v>
      </c>
      <c r="AG24" s="2">
        <v>0.55555555555555558</v>
      </c>
      <c r="AH24">
        <v>20</v>
      </c>
      <c r="AI24" s="2">
        <f t="shared" si="0"/>
        <v>0.56944444444444442</v>
      </c>
    </row>
    <row r="25" spans="1:35" ht="15" x14ac:dyDescent="0.25">
      <c r="A25" s="5"/>
      <c r="B25" s="7" t="s">
        <v>15</v>
      </c>
      <c r="C25" s="7">
        <v>5</v>
      </c>
      <c r="D25" s="7">
        <v>19</v>
      </c>
      <c r="E25" s="7">
        <v>0</v>
      </c>
      <c r="F25" s="7"/>
      <c r="G25" s="7"/>
      <c r="H25" s="7"/>
      <c r="I25" s="7"/>
      <c r="J25" s="7"/>
      <c r="K25" s="7"/>
      <c r="L25" s="7"/>
      <c r="M25" s="7"/>
      <c r="N25" s="14" t="s">
        <v>80</v>
      </c>
      <c r="O25" s="14" t="s">
        <v>129</v>
      </c>
      <c r="P25" s="8">
        <f t="shared" si="1"/>
        <v>19</v>
      </c>
      <c r="Q25" s="7">
        <v>26</v>
      </c>
      <c r="R25" s="7">
        <v>13</v>
      </c>
      <c r="S25" s="7">
        <v>14</v>
      </c>
      <c r="T25" s="7"/>
      <c r="U25" s="7"/>
      <c r="V25" s="7"/>
      <c r="W25" s="7"/>
      <c r="X25" s="7"/>
      <c r="Y25" s="7"/>
      <c r="Z25" s="7"/>
      <c r="AF25">
        <v>19</v>
      </c>
      <c r="AG25" s="2">
        <v>0.56944444444444442</v>
      </c>
      <c r="AH25">
        <v>20</v>
      </c>
      <c r="AI25" s="2">
        <f t="shared" si="0"/>
        <v>0.58333333333333337</v>
      </c>
    </row>
    <row r="26" spans="1:35" x14ac:dyDescent="0.35">
      <c r="A26" s="5"/>
      <c r="B26" s="7" t="s">
        <v>294</v>
      </c>
      <c r="C26" s="7">
        <v>4</v>
      </c>
      <c r="D26" s="7">
        <v>20</v>
      </c>
      <c r="E26" s="7">
        <v>0</v>
      </c>
      <c r="F26" s="7"/>
      <c r="G26" s="7"/>
      <c r="H26" s="7"/>
      <c r="I26" s="7"/>
      <c r="J26" s="7"/>
      <c r="K26" s="7"/>
      <c r="L26" s="7"/>
      <c r="M26" s="7"/>
      <c r="N26" s="14" t="s">
        <v>81</v>
      </c>
      <c r="O26" s="14" t="s">
        <v>129</v>
      </c>
      <c r="P26" s="8">
        <f t="shared" si="1"/>
        <v>20</v>
      </c>
      <c r="Q26" s="7">
        <v>27</v>
      </c>
      <c r="R26" s="7">
        <v>13</v>
      </c>
      <c r="S26" s="7">
        <v>14</v>
      </c>
      <c r="T26" s="7"/>
      <c r="U26" s="7"/>
      <c r="V26" s="7"/>
      <c r="W26" s="7"/>
      <c r="X26" s="7"/>
      <c r="Y26" s="7"/>
      <c r="Z26" s="7"/>
      <c r="AF26">
        <v>20</v>
      </c>
      <c r="AG26" s="2">
        <v>0.58333333333333337</v>
      </c>
      <c r="AH26">
        <v>20</v>
      </c>
      <c r="AI26" s="2">
        <f t="shared" si="0"/>
        <v>0.59722222222222221</v>
      </c>
    </row>
    <row r="27" spans="1:35" x14ac:dyDescent="0.35">
      <c r="A27" s="5"/>
      <c r="B27" s="7" t="s">
        <v>153</v>
      </c>
      <c r="C27" s="7">
        <v>3</v>
      </c>
      <c r="D27" s="7">
        <v>21</v>
      </c>
      <c r="E27" s="7">
        <v>0</v>
      </c>
      <c r="F27" s="7"/>
      <c r="G27" s="7"/>
      <c r="H27" s="7"/>
      <c r="I27" s="7"/>
      <c r="J27" s="7"/>
      <c r="K27" s="7"/>
      <c r="L27" s="7"/>
      <c r="M27" s="7"/>
      <c r="N27" s="14" t="s">
        <v>100</v>
      </c>
      <c r="O27" s="14" t="s">
        <v>130</v>
      </c>
      <c r="P27" s="8">
        <f t="shared" si="1"/>
        <v>21</v>
      </c>
      <c r="Q27" s="7">
        <v>29</v>
      </c>
      <c r="R27" s="7">
        <v>13</v>
      </c>
      <c r="S27" s="7">
        <v>14</v>
      </c>
      <c r="T27" s="7"/>
      <c r="U27" s="7"/>
      <c r="V27" s="7"/>
      <c r="W27" s="7"/>
      <c r="X27" s="7"/>
      <c r="Y27" s="7"/>
      <c r="Z27" s="7"/>
      <c r="AF27">
        <v>21</v>
      </c>
      <c r="AG27" s="2">
        <v>0.59722222222222221</v>
      </c>
      <c r="AH27">
        <v>20</v>
      </c>
      <c r="AI27" s="2">
        <f t="shared" si="0"/>
        <v>0.61111111111111105</v>
      </c>
    </row>
    <row r="28" spans="1:35" x14ac:dyDescent="0.35">
      <c r="B28" s="7" t="s">
        <v>154</v>
      </c>
      <c r="C28" s="7">
        <v>3</v>
      </c>
      <c r="D28" s="7">
        <v>22</v>
      </c>
      <c r="E28" s="7">
        <v>0</v>
      </c>
      <c r="F28" s="7"/>
      <c r="G28" s="7"/>
      <c r="H28" s="7"/>
      <c r="I28" s="7"/>
      <c r="J28" s="7"/>
      <c r="K28" s="7"/>
      <c r="L28" s="7"/>
      <c r="M28" s="7"/>
      <c r="N28" s="14" t="s">
        <v>99</v>
      </c>
      <c r="O28" s="14" t="s">
        <v>130</v>
      </c>
      <c r="P28" s="8">
        <f>P27+1</f>
        <v>22</v>
      </c>
      <c r="Q28" s="7">
        <v>30</v>
      </c>
      <c r="R28" s="7">
        <v>11</v>
      </c>
      <c r="S28" s="7">
        <v>12</v>
      </c>
      <c r="T28" s="7"/>
      <c r="U28" s="7"/>
      <c r="V28" s="7"/>
      <c r="W28" s="7"/>
      <c r="X28" s="7"/>
      <c r="Y28" s="7"/>
      <c r="Z28" s="7"/>
      <c r="AF28">
        <v>22</v>
      </c>
      <c r="AG28" s="2">
        <v>0.61111111111111105</v>
      </c>
      <c r="AH28">
        <v>20</v>
      </c>
      <c r="AI28" s="2">
        <f t="shared" si="0"/>
        <v>0.625</v>
      </c>
    </row>
    <row r="29" spans="1:35" ht="15" x14ac:dyDescent="0.25"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14" t="s">
        <v>125</v>
      </c>
      <c r="O29" s="14" t="s">
        <v>130</v>
      </c>
      <c r="P29" s="8">
        <f t="shared" si="1"/>
        <v>23</v>
      </c>
      <c r="Q29" s="7">
        <v>31</v>
      </c>
      <c r="R29" s="7">
        <v>13</v>
      </c>
      <c r="S29" s="7">
        <v>14</v>
      </c>
      <c r="T29" s="7"/>
      <c r="U29" s="7"/>
      <c r="V29" s="7"/>
      <c r="W29" s="7"/>
      <c r="X29" s="7"/>
      <c r="Y29" s="7"/>
      <c r="Z29" s="7"/>
      <c r="AF29">
        <v>23</v>
      </c>
      <c r="AG29" s="2">
        <v>0.625</v>
      </c>
      <c r="AH29">
        <v>20</v>
      </c>
      <c r="AI29" s="2">
        <f t="shared" si="0"/>
        <v>0.63888888888888895</v>
      </c>
    </row>
    <row r="30" spans="1:35" ht="15" x14ac:dyDescent="0.25"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14" t="s">
        <v>157</v>
      </c>
      <c r="O30" s="14" t="s">
        <v>129</v>
      </c>
      <c r="P30" s="8">
        <f>P29+1</f>
        <v>24</v>
      </c>
      <c r="Q30" s="7">
        <v>32</v>
      </c>
      <c r="R30" s="7">
        <v>13</v>
      </c>
      <c r="S30" s="7">
        <v>14</v>
      </c>
      <c r="T30" s="7"/>
      <c r="U30" s="7"/>
      <c r="V30" s="7"/>
      <c r="W30" s="7"/>
      <c r="X30" s="7"/>
      <c r="Y30" s="7"/>
      <c r="Z30" s="7"/>
      <c r="AF30">
        <v>24</v>
      </c>
      <c r="AG30" s="2">
        <v>0.63888888888888895</v>
      </c>
      <c r="AH30">
        <v>20</v>
      </c>
      <c r="AI30" s="2">
        <f t="shared" si="0"/>
        <v>0.65277777777777779</v>
      </c>
    </row>
    <row r="31" spans="1:35" ht="15" x14ac:dyDescent="0.25"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F31">
        <v>25</v>
      </c>
      <c r="AG31" s="2">
        <v>0.65277777777777779</v>
      </c>
      <c r="AH31">
        <v>20</v>
      </c>
      <c r="AI31" s="2">
        <f t="shared" si="0"/>
        <v>0.66666666666666663</v>
      </c>
    </row>
    <row r="32" spans="1:35" ht="15" x14ac:dyDescent="0.25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13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F32">
        <v>26</v>
      </c>
      <c r="AG32" s="2">
        <v>0.66666666666666663</v>
      </c>
      <c r="AH32">
        <v>20</v>
      </c>
      <c r="AI32" s="2">
        <v>0.68055555555555547</v>
      </c>
    </row>
    <row r="33" spans="2:26" ht="15" x14ac:dyDescent="0.25"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2:26" ht="15" x14ac:dyDescent="0.25">
      <c r="B34" s="7"/>
      <c r="C34" s="7"/>
      <c r="D34" s="7"/>
      <c r="E34" s="7"/>
      <c r="F34" s="7"/>
      <c r="G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2:26" ht="15" x14ac:dyDescent="0.25">
      <c r="B35" s="7"/>
      <c r="C35" s="7"/>
      <c r="D35" s="7"/>
      <c r="E35" s="7"/>
      <c r="F35" s="7"/>
      <c r="G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2:26" ht="15" x14ac:dyDescent="0.25">
      <c r="B36" s="7"/>
      <c r="C36" s="7"/>
      <c r="D36" s="7"/>
      <c r="E36" s="7"/>
      <c r="F36" s="7"/>
      <c r="G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2:26" ht="15" x14ac:dyDescent="0.25">
      <c r="B37" s="7"/>
      <c r="C37" s="7"/>
      <c r="D37" s="7"/>
      <c r="E37" s="7"/>
      <c r="F37" s="7"/>
      <c r="G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2:26" ht="15" x14ac:dyDescent="0.25">
      <c r="B38" s="7"/>
      <c r="C38" s="7"/>
      <c r="D38" s="7"/>
      <c r="E38" s="7"/>
      <c r="F38" s="7"/>
      <c r="G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1" t="s">
        <v>20</v>
      </c>
      <c r="W38" s="1" t="s">
        <v>18</v>
      </c>
      <c r="X38" s="1" t="s">
        <v>19</v>
      </c>
      <c r="Y38" s="7"/>
      <c r="Z38" s="7"/>
    </row>
    <row r="39" spans="2:26" ht="15" x14ac:dyDescent="0.25">
      <c r="B39" s="7"/>
      <c r="C39" s="7"/>
      <c r="D39" s="7"/>
      <c r="E39" s="7"/>
      <c r="F39" s="7"/>
      <c r="G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>
        <v>1</v>
      </c>
      <c r="W39" t="s">
        <v>21</v>
      </c>
      <c r="X39" t="s">
        <v>31</v>
      </c>
      <c r="Y39" s="7"/>
      <c r="Z39" s="7"/>
    </row>
    <row r="40" spans="2:26" ht="15" x14ac:dyDescent="0.25">
      <c r="B40" s="7"/>
      <c r="C40" s="7"/>
      <c r="D40" s="7"/>
      <c r="E40" s="7"/>
      <c r="F40" s="7"/>
      <c r="G40" s="7"/>
      <c r="H40" t="s">
        <v>49</v>
      </c>
      <c r="I40" t="s">
        <v>18</v>
      </c>
      <c r="J40" t="s">
        <v>50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>
        <f>V39+1</f>
        <v>2</v>
      </c>
      <c r="W40" t="s">
        <v>22</v>
      </c>
      <c r="X40" t="s">
        <v>32</v>
      </c>
      <c r="Y40" s="7"/>
      <c r="Z40" s="7"/>
    </row>
    <row r="41" spans="2:26" ht="15" x14ac:dyDescent="0.25">
      <c r="H41">
        <v>1</v>
      </c>
      <c r="I41" t="s">
        <v>0</v>
      </c>
      <c r="J41" t="s">
        <v>55</v>
      </c>
      <c r="V41">
        <f t="shared" ref="V41:V51" si="2">V40+1</f>
        <v>3</v>
      </c>
      <c r="W41" t="s">
        <v>23</v>
      </c>
      <c r="X41" t="s">
        <v>33</v>
      </c>
    </row>
    <row r="42" spans="2:26" ht="15" x14ac:dyDescent="0.25">
      <c r="H42">
        <v>2</v>
      </c>
      <c r="I42" t="s">
        <v>5</v>
      </c>
      <c r="J42" t="s">
        <v>54</v>
      </c>
      <c r="V42">
        <f t="shared" si="2"/>
        <v>4</v>
      </c>
      <c r="W42" t="s">
        <v>24</v>
      </c>
      <c r="X42" t="s">
        <v>34</v>
      </c>
    </row>
    <row r="43" spans="2:26" ht="15" x14ac:dyDescent="0.25">
      <c r="H43">
        <v>3</v>
      </c>
      <c r="I43" t="s">
        <v>7</v>
      </c>
      <c r="J43" t="s">
        <v>53</v>
      </c>
      <c r="V43">
        <f t="shared" si="2"/>
        <v>5</v>
      </c>
      <c r="W43" t="s">
        <v>25</v>
      </c>
      <c r="X43" t="s">
        <v>35</v>
      </c>
    </row>
    <row r="44" spans="2:26" ht="15" x14ac:dyDescent="0.25">
      <c r="H44">
        <v>4</v>
      </c>
      <c r="I44" t="s">
        <v>12</v>
      </c>
      <c r="J44" t="s">
        <v>52</v>
      </c>
      <c r="V44">
        <f t="shared" si="2"/>
        <v>6</v>
      </c>
      <c r="W44" t="s">
        <v>26</v>
      </c>
      <c r="X44" t="s">
        <v>36</v>
      </c>
    </row>
    <row r="45" spans="2:26" ht="15" x14ac:dyDescent="0.25">
      <c r="H45">
        <v>5</v>
      </c>
      <c r="I45" t="s">
        <v>14</v>
      </c>
      <c r="J45" t="s">
        <v>51</v>
      </c>
      <c r="V45">
        <f t="shared" si="2"/>
        <v>7</v>
      </c>
      <c r="W45" t="s">
        <v>27</v>
      </c>
      <c r="X45" t="s">
        <v>37</v>
      </c>
    </row>
    <row r="46" spans="2:26" ht="15" x14ac:dyDescent="0.25">
      <c r="H46">
        <v>6</v>
      </c>
      <c r="I46" t="s">
        <v>95</v>
      </c>
      <c r="J46" t="s">
        <v>96</v>
      </c>
      <c r="V46">
        <f t="shared" si="2"/>
        <v>8</v>
      </c>
      <c r="W46" t="s">
        <v>85</v>
      </c>
      <c r="X46" t="s">
        <v>86</v>
      </c>
    </row>
    <row r="47" spans="2:26" ht="15" x14ac:dyDescent="0.25">
      <c r="V47">
        <f t="shared" si="2"/>
        <v>9</v>
      </c>
      <c r="W47" t="s">
        <v>28</v>
      </c>
      <c r="X47" t="s">
        <v>38</v>
      </c>
    </row>
    <row r="48" spans="2:26" ht="15" x14ac:dyDescent="0.25">
      <c r="V48">
        <f t="shared" si="2"/>
        <v>10</v>
      </c>
      <c r="W48" t="s">
        <v>29</v>
      </c>
      <c r="X48" t="s">
        <v>39</v>
      </c>
    </row>
    <row r="49" spans="3:31" ht="15" x14ac:dyDescent="0.25">
      <c r="V49">
        <f t="shared" si="2"/>
        <v>11</v>
      </c>
      <c r="W49" t="s">
        <v>30</v>
      </c>
      <c r="X49" t="s">
        <v>40</v>
      </c>
    </row>
    <row r="50" spans="3:31" ht="15" x14ac:dyDescent="0.25">
      <c r="V50">
        <f t="shared" si="2"/>
        <v>12</v>
      </c>
      <c r="W50" t="s">
        <v>41</v>
      </c>
      <c r="X50" t="s">
        <v>42</v>
      </c>
    </row>
    <row r="51" spans="3:31" ht="15" x14ac:dyDescent="0.25">
      <c r="V51">
        <f t="shared" si="2"/>
        <v>13</v>
      </c>
      <c r="W51" t="s">
        <v>43</v>
      </c>
      <c r="X51" t="s">
        <v>44</v>
      </c>
    </row>
    <row r="55" spans="3:31" ht="15" x14ac:dyDescent="0.25">
      <c r="E55" t="s">
        <v>102</v>
      </c>
    </row>
    <row r="57" spans="3:31" ht="15" x14ac:dyDescent="0.25">
      <c r="C57" s="1" t="s">
        <v>56</v>
      </c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</row>
    <row r="58" spans="3:31" ht="15" x14ac:dyDescent="0.25">
      <c r="E58" s="12">
        <v>0.375</v>
      </c>
      <c r="F58" s="12">
        <v>0.38541666666666669</v>
      </c>
      <c r="G58" s="12">
        <v>0.39583333333333298</v>
      </c>
      <c r="H58" s="12">
        <v>0.40625</v>
      </c>
      <c r="I58" s="12">
        <v>0.41666666666666702</v>
      </c>
      <c r="J58" s="12">
        <v>0.4236111111111111</v>
      </c>
      <c r="K58" s="12">
        <v>0.43055555555555558</v>
      </c>
      <c r="L58" s="12">
        <v>0.4375</v>
      </c>
      <c r="M58" s="12">
        <v>0.44444444444444442</v>
      </c>
      <c r="N58" s="12">
        <v>0.45833333333333331</v>
      </c>
      <c r="O58" s="12">
        <v>0.47222222222222227</v>
      </c>
      <c r="P58" s="12">
        <v>0.4861111111111111</v>
      </c>
      <c r="Q58" s="12">
        <v>0.5</v>
      </c>
      <c r="R58" s="12">
        <v>0.51041666666666663</v>
      </c>
      <c r="S58" s="12">
        <v>0.52083333333333337</v>
      </c>
      <c r="T58" s="12">
        <v>0.53125</v>
      </c>
      <c r="U58" s="12">
        <v>0.54166666666666663</v>
      </c>
      <c r="V58" s="12">
        <v>0.55555555555555558</v>
      </c>
      <c r="W58" s="12">
        <v>0.56944444444444442</v>
      </c>
      <c r="X58" s="12">
        <v>0.58333333333333337</v>
      </c>
      <c r="Y58" s="12">
        <v>0.59722222222222221</v>
      </c>
      <c r="Z58" s="12">
        <v>0.61111111111111105</v>
      </c>
      <c r="AA58" s="12">
        <v>0.625</v>
      </c>
      <c r="AB58" s="12">
        <v>0.63888888888888895</v>
      </c>
    </row>
    <row r="59" spans="3:31" ht="15" x14ac:dyDescent="0.25">
      <c r="C59" s="4"/>
      <c r="D59" s="4" t="s">
        <v>48</v>
      </c>
      <c r="E59" s="4">
        <v>1</v>
      </c>
      <c r="F59" s="4">
        <f>E59+1</f>
        <v>2</v>
      </c>
      <c r="G59" s="4">
        <f t="shared" ref="G59:AD59" si="3">F59+1</f>
        <v>3</v>
      </c>
      <c r="H59" s="4">
        <f t="shared" si="3"/>
        <v>4</v>
      </c>
      <c r="I59" s="4">
        <f t="shared" si="3"/>
        <v>5</v>
      </c>
      <c r="J59" s="4">
        <f t="shared" si="3"/>
        <v>6</v>
      </c>
      <c r="K59" s="4">
        <f t="shared" si="3"/>
        <v>7</v>
      </c>
      <c r="L59" s="4">
        <f t="shared" si="3"/>
        <v>8</v>
      </c>
      <c r="M59" s="4">
        <f t="shared" si="3"/>
        <v>9</v>
      </c>
      <c r="N59" s="4">
        <f t="shared" si="3"/>
        <v>10</v>
      </c>
      <c r="O59" s="4">
        <f t="shared" si="3"/>
        <v>11</v>
      </c>
      <c r="P59" s="4">
        <f t="shared" si="3"/>
        <v>12</v>
      </c>
      <c r="Q59" s="4">
        <f t="shared" si="3"/>
        <v>13</v>
      </c>
      <c r="R59" s="4">
        <f t="shared" si="3"/>
        <v>14</v>
      </c>
      <c r="S59" s="4">
        <f t="shared" si="3"/>
        <v>15</v>
      </c>
      <c r="T59" s="4">
        <f t="shared" si="3"/>
        <v>16</v>
      </c>
      <c r="U59" s="4">
        <f t="shared" si="3"/>
        <v>17</v>
      </c>
      <c r="V59" s="4">
        <f t="shared" si="3"/>
        <v>18</v>
      </c>
      <c r="W59" s="4">
        <f t="shared" si="3"/>
        <v>19</v>
      </c>
      <c r="X59" s="4">
        <f>W59+1</f>
        <v>20</v>
      </c>
      <c r="Y59" s="4">
        <f t="shared" si="3"/>
        <v>21</v>
      </c>
      <c r="Z59" s="4">
        <f t="shared" si="3"/>
        <v>22</v>
      </c>
      <c r="AA59" s="4">
        <f t="shared" si="3"/>
        <v>23</v>
      </c>
      <c r="AB59" s="4">
        <f t="shared" si="3"/>
        <v>24</v>
      </c>
      <c r="AC59" s="4">
        <f>AB59+1</f>
        <v>25</v>
      </c>
      <c r="AD59" s="4">
        <f t="shared" si="3"/>
        <v>26</v>
      </c>
      <c r="AE59" s="4"/>
    </row>
    <row r="60" spans="3:31" ht="15" x14ac:dyDescent="0.25">
      <c r="D60" s="5" t="s">
        <v>148</v>
      </c>
      <c r="E60" s="3">
        <v>1</v>
      </c>
      <c r="F60" s="3">
        <v>1</v>
      </c>
      <c r="G60" s="3">
        <v>4</v>
      </c>
      <c r="H60" s="3">
        <v>4</v>
      </c>
      <c r="I60" s="3">
        <v>6</v>
      </c>
      <c r="J60" s="3">
        <v>6</v>
      </c>
      <c r="K60" s="3">
        <v>10</v>
      </c>
      <c r="L60" s="3">
        <v>10</v>
      </c>
      <c r="M60" s="3">
        <v>10</v>
      </c>
      <c r="N60" s="3">
        <v>10</v>
      </c>
      <c r="O60" s="3">
        <v>10</v>
      </c>
      <c r="P60" s="3">
        <v>10</v>
      </c>
      <c r="Q60" s="3">
        <v>7</v>
      </c>
      <c r="R60" s="3">
        <v>7</v>
      </c>
      <c r="S60" s="3">
        <v>17</v>
      </c>
      <c r="T60" s="3">
        <v>17</v>
      </c>
      <c r="U60" s="3">
        <v>17</v>
      </c>
      <c r="V60" s="3">
        <v>17</v>
      </c>
      <c r="W60" s="3">
        <v>17</v>
      </c>
      <c r="X60" s="3">
        <v>17</v>
      </c>
      <c r="Y60" s="3">
        <v>17</v>
      </c>
      <c r="Z60" s="3">
        <v>17</v>
      </c>
      <c r="AA60" s="3">
        <v>17</v>
      </c>
      <c r="AB60" s="3"/>
      <c r="AC60" s="3"/>
    </row>
    <row r="61" spans="3:31" ht="15" x14ac:dyDescent="0.25">
      <c r="D61" s="5" t="s">
        <v>2</v>
      </c>
      <c r="E61" s="3">
        <v>1</v>
      </c>
      <c r="F61" s="3">
        <v>1</v>
      </c>
      <c r="G61" s="3">
        <v>5</v>
      </c>
      <c r="H61" s="3">
        <v>5</v>
      </c>
      <c r="I61" s="3">
        <v>6</v>
      </c>
      <c r="J61" s="3">
        <v>6</v>
      </c>
      <c r="K61" s="3">
        <v>10</v>
      </c>
      <c r="L61" s="3">
        <v>10</v>
      </c>
      <c r="M61" s="3">
        <v>10</v>
      </c>
      <c r="N61" s="3">
        <v>10</v>
      </c>
      <c r="O61" s="3">
        <v>10</v>
      </c>
      <c r="P61" s="3">
        <v>10</v>
      </c>
      <c r="Q61" s="3">
        <v>7</v>
      </c>
      <c r="R61" s="3">
        <v>7</v>
      </c>
      <c r="S61" s="3">
        <v>17</v>
      </c>
      <c r="T61" s="3">
        <v>17</v>
      </c>
      <c r="U61" s="3">
        <v>17</v>
      </c>
      <c r="V61" s="3">
        <v>17</v>
      </c>
      <c r="W61" s="3">
        <v>17</v>
      </c>
      <c r="X61" s="3">
        <v>17</v>
      </c>
      <c r="Y61" s="3">
        <v>17</v>
      </c>
      <c r="Z61" s="3">
        <v>17</v>
      </c>
      <c r="AA61" s="3">
        <v>17</v>
      </c>
      <c r="AB61" s="3"/>
      <c r="AC61" s="3"/>
    </row>
    <row r="62" spans="3:31" ht="15" x14ac:dyDescent="0.25">
      <c r="D62" s="5" t="s">
        <v>146</v>
      </c>
      <c r="E62" s="3">
        <v>1</v>
      </c>
      <c r="F62" s="3">
        <v>1</v>
      </c>
      <c r="G62" s="3">
        <v>5</v>
      </c>
      <c r="H62" s="3">
        <v>5</v>
      </c>
      <c r="I62" s="3">
        <v>6</v>
      </c>
      <c r="J62" s="3">
        <v>6</v>
      </c>
      <c r="K62" s="3">
        <v>10</v>
      </c>
      <c r="L62" s="3">
        <v>10</v>
      </c>
      <c r="M62" s="3">
        <v>10</v>
      </c>
      <c r="N62" s="3">
        <v>10</v>
      </c>
      <c r="O62" s="3">
        <v>10</v>
      </c>
      <c r="P62" s="3">
        <v>10</v>
      </c>
      <c r="Q62" s="3">
        <v>7</v>
      </c>
      <c r="R62" s="3">
        <v>7</v>
      </c>
      <c r="S62" s="3">
        <v>17</v>
      </c>
      <c r="T62" s="3">
        <v>17</v>
      </c>
      <c r="U62" s="3">
        <v>17</v>
      </c>
      <c r="V62" s="3">
        <v>17</v>
      </c>
      <c r="W62" s="3">
        <v>17</v>
      </c>
      <c r="X62" s="3">
        <v>17</v>
      </c>
      <c r="Y62" s="3">
        <v>17</v>
      </c>
      <c r="Z62" s="3">
        <v>17</v>
      </c>
      <c r="AA62" s="3">
        <v>17</v>
      </c>
      <c r="AB62" s="3"/>
      <c r="AC62" s="3"/>
    </row>
    <row r="63" spans="3:31" ht="15" x14ac:dyDescent="0.25">
      <c r="D63" s="5" t="s">
        <v>150</v>
      </c>
      <c r="E63" s="3">
        <v>1</v>
      </c>
      <c r="F63" s="3">
        <v>1</v>
      </c>
      <c r="G63" s="3">
        <v>4</v>
      </c>
      <c r="H63" s="3">
        <v>4</v>
      </c>
      <c r="I63" s="3">
        <v>6</v>
      </c>
      <c r="J63" s="3">
        <v>6</v>
      </c>
      <c r="K63" s="3">
        <v>10</v>
      </c>
      <c r="L63" s="3">
        <v>10</v>
      </c>
      <c r="M63" s="3">
        <v>10</v>
      </c>
      <c r="N63" s="3">
        <v>10</v>
      </c>
      <c r="O63" s="3">
        <v>10</v>
      </c>
      <c r="P63" s="3">
        <v>10</v>
      </c>
      <c r="Q63" s="3">
        <v>7</v>
      </c>
      <c r="R63" s="3">
        <v>7</v>
      </c>
      <c r="S63" s="3">
        <v>8</v>
      </c>
      <c r="T63" s="3">
        <v>8</v>
      </c>
      <c r="U63" s="3">
        <v>26</v>
      </c>
      <c r="V63" s="3">
        <v>26</v>
      </c>
      <c r="W63" s="3">
        <v>26</v>
      </c>
      <c r="X63" s="3">
        <v>26</v>
      </c>
      <c r="Y63" s="3">
        <v>26</v>
      </c>
      <c r="Z63" s="3">
        <v>26</v>
      </c>
      <c r="AA63" s="3">
        <v>26</v>
      </c>
      <c r="AB63" s="3"/>
      <c r="AC63" s="3"/>
    </row>
    <row r="64" spans="3:31" ht="15" x14ac:dyDescent="0.25">
      <c r="D64" s="5" t="s">
        <v>3</v>
      </c>
      <c r="E64" s="3">
        <v>2</v>
      </c>
      <c r="F64" s="3">
        <v>2</v>
      </c>
      <c r="G64" s="3">
        <v>4</v>
      </c>
      <c r="H64" s="3">
        <v>4</v>
      </c>
      <c r="I64" s="3">
        <v>6</v>
      </c>
      <c r="J64" s="3">
        <v>6</v>
      </c>
      <c r="K64" s="3">
        <v>9</v>
      </c>
      <c r="L64" s="3">
        <v>9</v>
      </c>
      <c r="M64" s="3">
        <v>9</v>
      </c>
      <c r="N64" s="3">
        <v>20</v>
      </c>
      <c r="O64" s="3">
        <v>20</v>
      </c>
      <c r="P64" s="3">
        <v>20</v>
      </c>
      <c r="Q64" s="3">
        <v>7</v>
      </c>
      <c r="R64" s="3">
        <v>7</v>
      </c>
      <c r="S64" s="3">
        <v>8</v>
      </c>
      <c r="T64" s="3">
        <v>8</v>
      </c>
      <c r="U64" s="3">
        <v>16</v>
      </c>
      <c r="V64" s="3">
        <v>16</v>
      </c>
      <c r="W64" s="3">
        <v>16</v>
      </c>
      <c r="X64" s="3">
        <v>16</v>
      </c>
      <c r="Y64" s="3">
        <v>16</v>
      </c>
      <c r="Z64" s="3">
        <v>16</v>
      </c>
      <c r="AA64" s="3">
        <v>16</v>
      </c>
      <c r="AB64" s="3"/>
      <c r="AC64" s="3"/>
    </row>
    <row r="65" spans="4:31" ht="15" x14ac:dyDescent="0.25">
      <c r="D65" s="5" t="s">
        <v>4</v>
      </c>
      <c r="E65" s="3">
        <v>2</v>
      </c>
      <c r="F65" s="3">
        <v>2</v>
      </c>
      <c r="G65" s="3">
        <v>4</v>
      </c>
      <c r="H65" s="3">
        <v>4</v>
      </c>
      <c r="I65" s="3">
        <v>6</v>
      </c>
      <c r="J65" s="3">
        <v>6</v>
      </c>
      <c r="K65" s="3">
        <v>9</v>
      </c>
      <c r="L65" s="3">
        <v>9</v>
      </c>
      <c r="M65" s="3">
        <v>9</v>
      </c>
      <c r="N65" s="3">
        <v>20</v>
      </c>
      <c r="O65" s="3">
        <v>20</v>
      </c>
      <c r="P65" s="3">
        <v>20</v>
      </c>
      <c r="Q65" s="3">
        <v>7</v>
      </c>
      <c r="R65" s="3">
        <v>7</v>
      </c>
      <c r="S65" s="3">
        <v>8</v>
      </c>
      <c r="T65" s="3">
        <v>8</v>
      </c>
      <c r="U65" s="3">
        <v>16</v>
      </c>
      <c r="V65" s="3">
        <v>16</v>
      </c>
      <c r="W65" s="3">
        <v>16</v>
      </c>
      <c r="X65" s="3">
        <v>16</v>
      </c>
      <c r="Y65" s="3">
        <v>16</v>
      </c>
      <c r="Z65" s="3">
        <v>16</v>
      </c>
      <c r="AA65" s="3">
        <v>16</v>
      </c>
      <c r="AB65" s="3"/>
      <c r="AC65" s="3"/>
    </row>
    <row r="66" spans="4:31" ht="15" x14ac:dyDescent="0.25">
      <c r="D66" s="5" t="s">
        <v>1</v>
      </c>
      <c r="E66" s="3">
        <v>2</v>
      </c>
      <c r="F66" s="3">
        <v>2</v>
      </c>
      <c r="G66" s="3">
        <v>5</v>
      </c>
      <c r="H66" s="3">
        <v>5</v>
      </c>
      <c r="I66" s="3">
        <v>6</v>
      </c>
      <c r="J66" s="3">
        <v>6</v>
      </c>
      <c r="K66" s="3">
        <v>9</v>
      </c>
      <c r="L66" s="3">
        <v>9</v>
      </c>
      <c r="M66" s="3">
        <v>9</v>
      </c>
      <c r="N66" s="3">
        <v>13</v>
      </c>
      <c r="O66" s="3">
        <v>13</v>
      </c>
      <c r="P66" s="3">
        <v>13</v>
      </c>
      <c r="Q66" s="3">
        <v>7</v>
      </c>
      <c r="R66" s="3">
        <v>7</v>
      </c>
      <c r="S66" s="3">
        <v>8</v>
      </c>
      <c r="T66" s="3">
        <v>8</v>
      </c>
      <c r="U66" s="3">
        <v>16</v>
      </c>
      <c r="V66" s="3">
        <v>16</v>
      </c>
      <c r="W66" s="3">
        <v>16</v>
      </c>
      <c r="X66" s="3">
        <v>16</v>
      </c>
      <c r="Y66" s="3">
        <v>16</v>
      </c>
      <c r="Z66" s="3">
        <v>16</v>
      </c>
      <c r="AA66" s="3">
        <v>16</v>
      </c>
      <c r="AB66" s="3"/>
      <c r="AC66" s="3"/>
    </row>
    <row r="67" spans="4:31" ht="15" x14ac:dyDescent="0.25">
      <c r="D67" s="5" t="s">
        <v>147</v>
      </c>
      <c r="E67" s="3">
        <v>2</v>
      </c>
      <c r="F67" s="3">
        <v>2</v>
      </c>
      <c r="G67" s="3">
        <v>5</v>
      </c>
      <c r="H67" s="3">
        <v>5</v>
      </c>
      <c r="I67" s="3">
        <v>6</v>
      </c>
      <c r="J67" s="3">
        <v>6</v>
      </c>
      <c r="K67" s="3">
        <v>9</v>
      </c>
      <c r="L67" s="3">
        <v>9</v>
      </c>
      <c r="M67" s="3">
        <v>9</v>
      </c>
      <c r="N67" s="3">
        <v>20</v>
      </c>
      <c r="O67" s="3">
        <v>20</v>
      </c>
      <c r="P67" s="3">
        <v>20</v>
      </c>
      <c r="Q67" s="3">
        <v>7</v>
      </c>
      <c r="R67" s="3">
        <v>7</v>
      </c>
      <c r="S67" s="3">
        <v>8</v>
      </c>
      <c r="T67" s="3">
        <v>8</v>
      </c>
      <c r="U67" s="3">
        <v>16</v>
      </c>
      <c r="V67" s="3">
        <v>16</v>
      </c>
      <c r="W67" s="3">
        <v>16</v>
      </c>
      <c r="X67" s="3">
        <v>16</v>
      </c>
      <c r="Y67" s="3">
        <v>16</v>
      </c>
      <c r="Z67" s="3">
        <v>16</v>
      </c>
      <c r="AA67" s="3">
        <v>16</v>
      </c>
      <c r="AB67" s="3"/>
      <c r="AC67" s="3"/>
    </row>
    <row r="68" spans="4:31" ht="15" x14ac:dyDescent="0.25">
      <c r="D68" s="5" t="s">
        <v>10</v>
      </c>
      <c r="E68" s="3">
        <v>3</v>
      </c>
      <c r="F68" s="3">
        <v>3</v>
      </c>
      <c r="G68" s="3">
        <v>5</v>
      </c>
      <c r="H68" s="3">
        <v>5</v>
      </c>
      <c r="I68" s="3">
        <v>6</v>
      </c>
      <c r="J68" s="3">
        <v>6</v>
      </c>
      <c r="K68" s="3">
        <v>11</v>
      </c>
      <c r="L68" s="3">
        <v>11</v>
      </c>
      <c r="M68" s="3">
        <v>11</v>
      </c>
      <c r="N68" s="3">
        <v>25</v>
      </c>
      <c r="O68" s="3">
        <v>25</v>
      </c>
      <c r="P68" s="3">
        <v>25</v>
      </c>
      <c r="Q68" s="3">
        <v>7</v>
      </c>
      <c r="R68" s="3">
        <v>7</v>
      </c>
      <c r="S68" s="3">
        <v>8</v>
      </c>
      <c r="T68" s="3">
        <v>8</v>
      </c>
      <c r="U68" s="3">
        <v>18</v>
      </c>
      <c r="V68" s="3">
        <v>18</v>
      </c>
      <c r="W68" s="3">
        <v>18</v>
      </c>
      <c r="X68" s="3">
        <v>18</v>
      </c>
      <c r="Y68" s="3">
        <v>18</v>
      </c>
      <c r="Z68" s="3">
        <v>18</v>
      </c>
      <c r="AA68" s="3">
        <v>18</v>
      </c>
      <c r="AB68" s="3"/>
      <c r="AC68" s="3"/>
    </row>
    <row r="69" spans="4:31" ht="15" x14ac:dyDescent="0.25">
      <c r="D69" s="5" t="s">
        <v>153</v>
      </c>
      <c r="E69" s="3">
        <v>3</v>
      </c>
      <c r="F69" s="3">
        <v>3</v>
      </c>
      <c r="G69" s="3">
        <v>4</v>
      </c>
      <c r="H69" s="3">
        <v>4</v>
      </c>
      <c r="I69" s="3">
        <v>6</v>
      </c>
      <c r="J69" s="3">
        <v>6</v>
      </c>
      <c r="K69" s="3">
        <v>11</v>
      </c>
      <c r="L69" s="3">
        <v>11</v>
      </c>
      <c r="M69" s="3">
        <v>11</v>
      </c>
      <c r="N69" s="3">
        <v>25</v>
      </c>
      <c r="O69" s="3">
        <v>25</v>
      </c>
      <c r="P69" s="3">
        <v>25</v>
      </c>
      <c r="Q69" s="3">
        <v>7</v>
      </c>
      <c r="R69" s="3">
        <v>7</v>
      </c>
      <c r="S69" s="3">
        <v>24</v>
      </c>
      <c r="T69" s="3">
        <v>24</v>
      </c>
      <c r="U69" s="3">
        <v>24</v>
      </c>
      <c r="V69" s="3">
        <v>24</v>
      </c>
      <c r="W69" s="3">
        <v>24</v>
      </c>
      <c r="X69" s="3">
        <v>24</v>
      </c>
      <c r="Y69" s="3">
        <v>24</v>
      </c>
      <c r="Z69" s="3">
        <v>24</v>
      </c>
      <c r="AA69" s="3">
        <v>24</v>
      </c>
      <c r="AB69" s="3"/>
      <c r="AC69" s="3"/>
    </row>
    <row r="70" spans="4:31" ht="15" x14ac:dyDescent="0.25">
      <c r="D70" s="5" t="s">
        <v>6</v>
      </c>
      <c r="E70" s="3">
        <v>3</v>
      </c>
      <c r="F70" s="3">
        <v>3</v>
      </c>
      <c r="G70" s="3">
        <v>5</v>
      </c>
      <c r="H70" s="3">
        <v>5</v>
      </c>
      <c r="I70" s="3">
        <v>6</v>
      </c>
      <c r="J70" s="3">
        <v>6</v>
      </c>
      <c r="K70" s="3">
        <v>11</v>
      </c>
      <c r="L70" s="3">
        <v>11</v>
      </c>
      <c r="M70" s="3">
        <v>11</v>
      </c>
      <c r="N70" s="3">
        <v>27</v>
      </c>
      <c r="O70" s="3">
        <v>27</v>
      </c>
      <c r="P70" s="3">
        <v>27</v>
      </c>
      <c r="Q70" s="3">
        <v>7</v>
      </c>
      <c r="R70" s="3">
        <v>7</v>
      </c>
      <c r="S70" s="3">
        <v>8</v>
      </c>
      <c r="T70" s="3">
        <v>8</v>
      </c>
      <c r="U70" s="3">
        <v>18</v>
      </c>
      <c r="V70" s="3">
        <v>18</v>
      </c>
      <c r="W70" s="3">
        <v>18</v>
      </c>
      <c r="X70" s="3">
        <v>18</v>
      </c>
      <c r="Y70" s="3">
        <v>18</v>
      </c>
      <c r="Z70" s="3">
        <v>18</v>
      </c>
      <c r="AA70" s="3">
        <v>18</v>
      </c>
      <c r="AB70" s="3"/>
      <c r="AC70" s="3"/>
    </row>
    <row r="71" spans="4:31" ht="15" x14ac:dyDescent="0.25">
      <c r="D71" s="5" t="s">
        <v>8</v>
      </c>
      <c r="E71" s="3">
        <v>3</v>
      </c>
      <c r="F71" s="3">
        <v>3</v>
      </c>
      <c r="G71" s="3">
        <v>4</v>
      </c>
      <c r="H71" s="3">
        <v>4</v>
      </c>
      <c r="I71" s="3">
        <v>6</v>
      </c>
      <c r="J71" s="3">
        <v>6</v>
      </c>
      <c r="K71" s="3">
        <v>11</v>
      </c>
      <c r="L71" s="3">
        <v>11</v>
      </c>
      <c r="M71" s="3">
        <v>11</v>
      </c>
      <c r="N71" s="3">
        <v>25</v>
      </c>
      <c r="O71" s="3">
        <v>25</v>
      </c>
      <c r="P71" s="3">
        <v>25</v>
      </c>
      <c r="Q71" s="3">
        <v>7</v>
      </c>
      <c r="R71" s="3">
        <v>7</v>
      </c>
      <c r="S71" s="3">
        <v>8</v>
      </c>
      <c r="T71" s="3">
        <v>8</v>
      </c>
      <c r="U71" s="3">
        <v>19</v>
      </c>
      <c r="V71" s="3">
        <v>19</v>
      </c>
      <c r="W71" s="3">
        <v>19</v>
      </c>
      <c r="X71" s="3">
        <v>19</v>
      </c>
      <c r="Y71" s="3">
        <v>19</v>
      </c>
      <c r="Z71" s="3">
        <v>19</v>
      </c>
      <c r="AA71" s="3">
        <v>19</v>
      </c>
      <c r="AB71" s="3"/>
      <c r="AC71" s="3"/>
    </row>
    <row r="72" spans="4:31" ht="15" x14ac:dyDescent="0.25">
      <c r="D72" s="5" t="s">
        <v>11</v>
      </c>
      <c r="E72" s="3">
        <v>3</v>
      </c>
      <c r="F72" s="3">
        <v>3</v>
      </c>
      <c r="G72" s="3">
        <v>4</v>
      </c>
      <c r="H72" s="3">
        <v>4</v>
      </c>
      <c r="I72" s="3">
        <v>6</v>
      </c>
      <c r="J72" s="3">
        <v>6</v>
      </c>
      <c r="K72" s="3">
        <v>11</v>
      </c>
      <c r="L72" s="3">
        <v>11</v>
      </c>
      <c r="M72" s="3">
        <v>11</v>
      </c>
      <c r="N72" s="3">
        <v>25</v>
      </c>
      <c r="O72" s="3">
        <v>25</v>
      </c>
      <c r="P72" s="3">
        <v>25</v>
      </c>
      <c r="Q72" s="3">
        <v>7</v>
      </c>
      <c r="R72" s="3">
        <v>7</v>
      </c>
      <c r="S72" s="3">
        <v>8</v>
      </c>
      <c r="T72" s="3">
        <v>8</v>
      </c>
      <c r="U72" s="3">
        <v>18</v>
      </c>
      <c r="V72" s="3">
        <v>18</v>
      </c>
      <c r="W72" s="3">
        <v>18</v>
      </c>
      <c r="X72" s="3">
        <v>18</v>
      </c>
      <c r="Y72" s="3">
        <v>18</v>
      </c>
      <c r="Z72" s="3">
        <v>18</v>
      </c>
      <c r="AA72" s="3">
        <v>18</v>
      </c>
      <c r="AB72" s="3"/>
      <c r="AC72" s="3"/>
    </row>
    <row r="73" spans="4:31" ht="15" x14ac:dyDescent="0.25">
      <c r="D73" s="5" t="s">
        <v>9</v>
      </c>
      <c r="E73" s="3">
        <v>14</v>
      </c>
      <c r="F73" s="3">
        <v>14</v>
      </c>
      <c r="G73" s="3">
        <v>14</v>
      </c>
      <c r="H73" s="3">
        <v>14</v>
      </c>
      <c r="I73" s="3">
        <v>14</v>
      </c>
      <c r="J73" s="3">
        <v>14</v>
      </c>
      <c r="K73" s="3">
        <v>14</v>
      </c>
      <c r="L73" s="3">
        <v>14</v>
      </c>
      <c r="M73" s="3">
        <v>14</v>
      </c>
      <c r="N73" s="3">
        <v>14</v>
      </c>
      <c r="O73" s="3">
        <v>14</v>
      </c>
      <c r="P73" s="3">
        <v>14</v>
      </c>
      <c r="Q73" s="3">
        <v>7</v>
      </c>
      <c r="R73" s="3">
        <v>7</v>
      </c>
      <c r="S73" s="3">
        <v>22</v>
      </c>
      <c r="T73" s="3">
        <v>22</v>
      </c>
      <c r="U73" s="3">
        <v>22</v>
      </c>
      <c r="V73" s="3">
        <v>22</v>
      </c>
      <c r="W73" s="3">
        <v>22</v>
      </c>
      <c r="X73" s="3">
        <v>22</v>
      </c>
      <c r="Y73" s="3">
        <v>22</v>
      </c>
      <c r="Z73" s="3">
        <v>22</v>
      </c>
      <c r="AA73" s="3">
        <v>22</v>
      </c>
      <c r="AB73" s="3"/>
      <c r="AC73" s="3"/>
    </row>
    <row r="74" spans="4:31" ht="15" x14ac:dyDescent="0.25">
      <c r="D74" s="5" t="s">
        <v>303</v>
      </c>
      <c r="E74" s="3"/>
      <c r="F74" s="3"/>
      <c r="G74" s="3">
        <v>12</v>
      </c>
      <c r="H74" s="3">
        <v>12</v>
      </c>
      <c r="I74" s="3">
        <v>12</v>
      </c>
      <c r="J74" s="3">
        <v>12</v>
      </c>
      <c r="K74" s="3">
        <v>12</v>
      </c>
      <c r="L74" s="3">
        <v>12</v>
      </c>
      <c r="M74" s="3">
        <v>12</v>
      </c>
      <c r="N74" s="3">
        <v>12</v>
      </c>
      <c r="O74" s="3">
        <v>12</v>
      </c>
      <c r="P74" s="3">
        <v>12</v>
      </c>
      <c r="Q74" s="3">
        <v>21</v>
      </c>
      <c r="R74" s="3">
        <v>21</v>
      </c>
      <c r="S74" s="3">
        <v>21</v>
      </c>
      <c r="T74" s="3">
        <v>21</v>
      </c>
      <c r="U74" s="3">
        <v>28</v>
      </c>
      <c r="V74" s="3">
        <v>28</v>
      </c>
      <c r="W74" s="3">
        <v>28</v>
      </c>
      <c r="X74" s="3">
        <v>28</v>
      </c>
      <c r="Y74" s="3">
        <v>28</v>
      </c>
      <c r="Z74" s="3">
        <v>28</v>
      </c>
      <c r="AA74" s="3">
        <v>28</v>
      </c>
      <c r="AB74" s="3"/>
      <c r="AC74" s="3"/>
    </row>
    <row r="75" spans="4:31" ht="15" x14ac:dyDescent="0.25">
      <c r="D75" s="5" t="s">
        <v>105</v>
      </c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</row>
    <row r="76" spans="4:31" ht="15" x14ac:dyDescent="0.25">
      <c r="D76" s="5" t="s">
        <v>17</v>
      </c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</row>
    <row r="77" spans="4:31" ht="15" x14ac:dyDescent="0.25">
      <c r="D77" s="5" t="s">
        <v>16</v>
      </c>
      <c r="E77" s="3">
        <v>15</v>
      </c>
      <c r="F77" s="3">
        <v>15</v>
      </c>
      <c r="G77" s="3">
        <v>15</v>
      </c>
      <c r="H77" s="3">
        <v>15</v>
      </c>
      <c r="I77" s="3">
        <v>15</v>
      </c>
      <c r="J77" s="3">
        <v>15</v>
      </c>
      <c r="K77" s="3">
        <v>15</v>
      </c>
      <c r="L77" s="3">
        <v>15</v>
      </c>
      <c r="M77" s="3">
        <v>15</v>
      </c>
      <c r="N77" s="3">
        <v>15</v>
      </c>
      <c r="O77" s="3">
        <v>15</v>
      </c>
      <c r="P77" s="3">
        <v>15</v>
      </c>
      <c r="Q77" s="3">
        <v>15</v>
      </c>
      <c r="R77" s="3">
        <v>15</v>
      </c>
      <c r="S77" s="3">
        <v>15</v>
      </c>
      <c r="T77" s="3">
        <v>15</v>
      </c>
      <c r="U77" s="3">
        <v>15</v>
      </c>
      <c r="V77" s="3">
        <v>15</v>
      </c>
      <c r="W77" s="3">
        <v>15</v>
      </c>
      <c r="X77" s="3">
        <v>15</v>
      </c>
      <c r="Y77" s="3"/>
      <c r="Z77" s="3"/>
      <c r="AA77" s="3"/>
      <c r="AB77" s="3"/>
      <c r="AC77" s="3"/>
    </row>
    <row r="78" spans="4:31" ht="15" x14ac:dyDescent="0.25">
      <c r="D78" s="5" t="s">
        <v>15</v>
      </c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</row>
    <row r="79" spans="4:31" ht="15" x14ac:dyDescent="0.25">
      <c r="D79" s="5" t="s">
        <v>149</v>
      </c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>
        <v>23</v>
      </c>
      <c r="V79" s="3">
        <v>23</v>
      </c>
      <c r="W79" s="3">
        <v>23</v>
      </c>
      <c r="X79" s="3">
        <v>23</v>
      </c>
      <c r="Y79" s="3">
        <v>23</v>
      </c>
      <c r="Z79" s="3">
        <v>23</v>
      </c>
      <c r="AA79" s="3">
        <v>23</v>
      </c>
      <c r="AB79" s="3"/>
      <c r="AC79" s="3"/>
    </row>
    <row r="80" spans="4:31" ht="15" x14ac:dyDescent="0.25">
      <c r="D80" s="5" t="s">
        <v>154</v>
      </c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</row>
    <row r="81" spans="2:19" x14ac:dyDescent="0.35">
      <c r="D81" s="5" t="s">
        <v>294</v>
      </c>
    </row>
    <row r="92" spans="2:19" ht="15" x14ac:dyDescent="0.25">
      <c r="C92" s="1" t="s">
        <v>94</v>
      </c>
      <c r="D92" s="1" t="s">
        <v>61</v>
      </c>
      <c r="E92" s="1" t="s">
        <v>87</v>
      </c>
      <c r="F92" s="1" t="s">
        <v>62</v>
      </c>
      <c r="G92" s="1" t="s">
        <v>63</v>
      </c>
      <c r="H92" s="1" t="s">
        <v>84</v>
      </c>
      <c r="I92" s="1" t="s">
        <v>64</v>
      </c>
      <c r="J92" s="1" t="s">
        <v>65</v>
      </c>
      <c r="K92" s="1" t="s">
        <v>66</v>
      </c>
      <c r="L92" s="1" t="s">
        <v>67</v>
      </c>
      <c r="M92" s="1" t="s">
        <v>88</v>
      </c>
      <c r="N92" s="1" t="s">
        <v>89</v>
      </c>
      <c r="O92" s="1" t="s">
        <v>68</v>
      </c>
      <c r="P92" s="4" t="s">
        <v>91</v>
      </c>
      <c r="Q92" t="s">
        <v>49</v>
      </c>
      <c r="R92" s="1" t="s">
        <v>108</v>
      </c>
      <c r="S92" s="1" t="s">
        <v>90</v>
      </c>
    </row>
    <row r="93" spans="2:19" ht="60" x14ac:dyDescent="0.25">
      <c r="B93">
        <v>1</v>
      </c>
      <c r="C93" s="3">
        <v>1</v>
      </c>
      <c r="D93" s="3">
        <v>1</v>
      </c>
      <c r="E93" s="3"/>
      <c r="F93" s="3"/>
      <c r="G93" s="3"/>
      <c r="I93" s="3" t="s">
        <v>69</v>
      </c>
      <c r="J93" s="3" t="s">
        <v>185</v>
      </c>
      <c r="K93" s="3" t="s">
        <v>72</v>
      </c>
      <c r="L93" s="3"/>
      <c r="M93" t="s">
        <v>159</v>
      </c>
      <c r="N93" s="3" t="s">
        <v>155</v>
      </c>
      <c r="O93" s="6" t="s">
        <v>156</v>
      </c>
      <c r="P93" s="3" t="s">
        <v>103</v>
      </c>
      <c r="Q93" s="3" t="s">
        <v>55</v>
      </c>
      <c r="R93" s="3">
        <v>0</v>
      </c>
    </row>
    <row r="94" spans="2:19" ht="60" x14ac:dyDescent="0.25">
      <c r="B94">
        <v>2</v>
      </c>
      <c r="C94" s="3">
        <v>2</v>
      </c>
      <c r="D94" s="3">
        <v>2</v>
      </c>
      <c r="E94" s="3"/>
      <c r="F94" s="3"/>
      <c r="G94" s="3"/>
      <c r="I94" s="3" t="s">
        <v>72</v>
      </c>
      <c r="J94" s="3" t="s">
        <v>81</v>
      </c>
      <c r="K94" s="3" t="s">
        <v>157</v>
      </c>
      <c r="L94" s="3"/>
      <c r="M94" t="s">
        <v>158</v>
      </c>
      <c r="N94" t="s">
        <v>155</v>
      </c>
      <c r="O94" s="6" t="s">
        <v>160</v>
      </c>
      <c r="P94" s="3" t="s">
        <v>103</v>
      </c>
      <c r="Q94" s="3" t="s">
        <v>54</v>
      </c>
      <c r="R94" s="3">
        <v>0</v>
      </c>
    </row>
    <row r="95" spans="2:19" ht="60" x14ac:dyDescent="0.25">
      <c r="B95">
        <v>3</v>
      </c>
      <c r="C95" s="3">
        <v>3</v>
      </c>
      <c r="D95" s="3">
        <v>3</v>
      </c>
      <c r="E95" s="3"/>
      <c r="F95" s="3"/>
      <c r="G95" s="3"/>
      <c r="I95" s="3" t="s">
        <v>80</v>
      </c>
      <c r="J95" s="3" t="s">
        <v>70</v>
      </c>
      <c r="K95" s="3"/>
      <c r="L95" s="3"/>
      <c r="M95" t="s">
        <v>161</v>
      </c>
      <c r="N95" t="s">
        <v>155</v>
      </c>
      <c r="O95" s="6" t="s">
        <v>162</v>
      </c>
      <c r="P95" s="3" t="s">
        <v>103</v>
      </c>
      <c r="Q95" s="3" t="s">
        <v>53</v>
      </c>
      <c r="R95" s="3">
        <v>0</v>
      </c>
    </row>
    <row r="96" spans="2:19" ht="60" x14ac:dyDescent="0.25">
      <c r="B96">
        <v>4</v>
      </c>
      <c r="C96" s="3">
        <v>4</v>
      </c>
      <c r="D96" s="3">
        <v>1</v>
      </c>
      <c r="E96" s="3" t="s">
        <v>75</v>
      </c>
      <c r="F96" s="3"/>
      <c r="G96" s="3"/>
      <c r="I96" s="3" t="s">
        <v>71</v>
      </c>
      <c r="J96" s="3" t="s">
        <v>69</v>
      </c>
      <c r="K96" s="3" t="s">
        <v>99</v>
      </c>
      <c r="L96" s="3" t="s">
        <v>157</v>
      </c>
      <c r="M96" t="s">
        <v>92</v>
      </c>
      <c r="N96" t="s">
        <v>106</v>
      </c>
      <c r="O96" s="6" t="s">
        <v>97</v>
      </c>
      <c r="P96" s="3" t="s">
        <v>103</v>
      </c>
      <c r="Q96" s="3" t="s">
        <v>96</v>
      </c>
      <c r="R96" s="3">
        <v>0</v>
      </c>
    </row>
    <row r="97" spans="2:18" ht="60" x14ac:dyDescent="0.25">
      <c r="B97">
        <v>5</v>
      </c>
      <c r="C97" s="3">
        <v>5</v>
      </c>
      <c r="D97" s="3">
        <v>3</v>
      </c>
      <c r="E97" s="3" t="s">
        <v>79</v>
      </c>
      <c r="F97" s="3"/>
      <c r="G97" s="3"/>
      <c r="I97" s="3" t="s">
        <v>72</v>
      </c>
      <c r="J97" s="3" t="s">
        <v>81</v>
      </c>
      <c r="K97" s="3" t="s">
        <v>80</v>
      </c>
      <c r="L97" s="3"/>
      <c r="M97" t="s">
        <v>93</v>
      </c>
      <c r="N97" t="s">
        <v>107</v>
      </c>
      <c r="O97" s="6" t="s">
        <v>98</v>
      </c>
      <c r="P97" s="3" t="s">
        <v>101</v>
      </c>
      <c r="Q97" s="3" t="s">
        <v>96</v>
      </c>
      <c r="R97" s="3">
        <v>1</v>
      </c>
    </row>
    <row r="98" spans="2:18" x14ac:dyDescent="0.35">
      <c r="B98">
        <v>6</v>
      </c>
      <c r="C98" s="3">
        <v>6</v>
      </c>
      <c r="D98" s="3">
        <v>9</v>
      </c>
      <c r="E98" s="3" t="s">
        <v>75</v>
      </c>
      <c r="F98" s="3" t="s">
        <v>79</v>
      </c>
      <c r="G98" s="3"/>
      <c r="I98" s="3"/>
      <c r="J98" s="3"/>
      <c r="K98" s="3"/>
      <c r="L98" s="3"/>
      <c r="M98" t="s">
        <v>163</v>
      </c>
      <c r="N98" t="s">
        <v>78</v>
      </c>
      <c r="O98" s="6" t="s">
        <v>78</v>
      </c>
      <c r="P98" s="3" t="s">
        <v>103</v>
      </c>
      <c r="Q98" s="3" t="s">
        <v>96</v>
      </c>
      <c r="R98" s="3">
        <v>0</v>
      </c>
    </row>
    <row r="99" spans="2:18" x14ac:dyDescent="0.35">
      <c r="B99">
        <v>7</v>
      </c>
      <c r="C99" s="3">
        <v>7</v>
      </c>
      <c r="D99" s="3">
        <v>9</v>
      </c>
      <c r="E99" s="3" t="s">
        <v>75</v>
      </c>
      <c r="F99" s="3" t="s">
        <v>79</v>
      </c>
      <c r="G99" s="3"/>
      <c r="I99" s="3" t="s">
        <v>72</v>
      </c>
      <c r="J99" s="3" t="s">
        <v>69</v>
      </c>
      <c r="K99" s="3" t="s">
        <v>82</v>
      </c>
      <c r="L99" s="3"/>
      <c r="M99" t="s">
        <v>164</v>
      </c>
      <c r="N99" t="s">
        <v>112</v>
      </c>
      <c r="O99" s="6" t="s">
        <v>112</v>
      </c>
      <c r="P99" s="3" t="s">
        <v>103</v>
      </c>
      <c r="Q99" s="3" t="s">
        <v>96</v>
      </c>
      <c r="R99" s="3">
        <v>0</v>
      </c>
    </row>
    <row r="100" spans="2:18" ht="29" x14ac:dyDescent="0.35">
      <c r="B100">
        <v>8</v>
      </c>
      <c r="C100" s="3">
        <v>8</v>
      </c>
      <c r="D100" s="3">
        <v>10</v>
      </c>
      <c r="E100" s="3" t="s">
        <v>73</v>
      </c>
      <c r="F100" s="3" t="s">
        <v>83</v>
      </c>
      <c r="G100" s="3" t="s">
        <v>77</v>
      </c>
      <c r="I100" s="3" t="s">
        <v>157</v>
      </c>
      <c r="J100" s="3" t="s">
        <v>71</v>
      </c>
      <c r="K100" s="3"/>
      <c r="L100" s="3"/>
      <c r="M100" t="s">
        <v>40</v>
      </c>
      <c r="N100" t="s">
        <v>165</v>
      </c>
      <c r="O100" s="6" t="s">
        <v>165</v>
      </c>
      <c r="P100" s="3" t="s">
        <v>103</v>
      </c>
      <c r="Q100" s="3" t="s">
        <v>96</v>
      </c>
      <c r="R100" s="3">
        <v>0</v>
      </c>
    </row>
    <row r="101" spans="2:18" x14ac:dyDescent="0.35">
      <c r="B101">
        <v>9</v>
      </c>
      <c r="C101" s="3">
        <v>9</v>
      </c>
      <c r="D101" s="3">
        <v>1</v>
      </c>
      <c r="E101" s="3" t="s">
        <v>75</v>
      </c>
      <c r="F101" s="3"/>
      <c r="I101" s="3" t="s">
        <v>69</v>
      </c>
      <c r="J101" s="3" t="s">
        <v>71</v>
      </c>
      <c r="K101" s="3"/>
      <c r="L101" s="3"/>
      <c r="M101" t="s">
        <v>55</v>
      </c>
      <c r="N101" t="s">
        <v>0</v>
      </c>
      <c r="O101" s="6" t="s">
        <v>0</v>
      </c>
      <c r="P101" s="3" t="s">
        <v>103</v>
      </c>
      <c r="Q101" s="3" t="s">
        <v>55</v>
      </c>
      <c r="R101" s="3">
        <v>0</v>
      </c>
    </row>
    <row r="102" spans="2:18" x14ac:dyDescent="0.35">
      <c r="B102">
        <v>10</v>
      </c>
      <c r="C102" s="3">
        <v>10</v>
      </c>
      <c r="D102" s="3">
        <v>2</v>
      </c>
      <c r="E102" s="3" t="s">
        <v>73</v>
      </c>
      <c r="F102" s="3"/>
      <c r="G102" s="3"/>
      <c r="I102" s="3" t="s">
        <v>72</v>
      </c>
      <c r="J102" s="3" t="s">
        <v>81</v>
      </c>
      <c r="K102" s="3" t="s">
        <v>157</v>
      </c>
      <c r="L102" s="3"/>
      <c r="M102" t="s">
        <v>54</v>
      </c>
      <c r="N102" t="s">
        <v>5</v>
      </c>
      <c r="O102" s="6" t="s">
        <v>5</v>
      </c>
      <c r="P102" s="3" t="s">
        <v>103</v>
      </c>
      <c r="Q102" s="3" t="s">
        <v>54</v>
      </c>
      <c r="R102" s="3">
        <v>0</v>
      </c>
    </row>
    <row r="103" spans="2:18" x14ac:dyDescent="0.35">
      <c r="B103">
        <v>11</v>
      </c>
      <c r="C103" s="3">
        <v>11</v>
      </c>
      <c r="D103" s="3">
        <v>3</v>
      </c>
      <c r="E103" s="3" t="s">
        <v>79</v>
      </c>
      <c r="F103" s="3" t="s">
        <v>77</v>
      </c>
      <c r="G103" s="3"/>
      <c r="I103" s="3" t="s">
        <v>70</v>
      </c>
      <c r="J103" s="3" t="s">
        <v>80</v>
      </c>
      <c r="K103" s="3"/>
      <c r="L103" s="3"/>
      <c r="M103" t="s">
        <v>53</v>
      </c>
      <c r="N103" t="s">
        <v>7</v>
      </c>
      <c r="O103" t="s">
        <v>7</v>
      </c>
      <c r="P103" s="3" t="s">
        <v>103</v>
      </c>
      <c r="Q103" s="3" t="s">
        <v>53</v>
      </c>
      <c r="R103" s="3">
        <v>0</v>
      </c>
    </row>
    <row r="104" spans="2:18" x14ac:dyDescent="0.35">
      <c r="B104">
        <v>12</v>
      </c>
      <c r="C104" s="3">
        <v>12</v>
      </c>
      <c r="D104" s="3">
        <v>6</v>
      </c>
      <c r="E104" s="3" t="s">
        <v>83</v>
      </c>
      <c r="F104" s="3"/>
      <c r="G104" s="3"/>
      <c r="I104" s="3" t="s">
        <v>100</v>
      </c>
      <c r="J104" s="3"/>
      <c r="K104" s="3"/>
      <c r="L104" s="3"/>
      <c r="M104" t="s">
        <v>168</v>
      </c>
      <c r="N104" t="s">
        <v>13</v>
      </c>
      <c r="O104" s="6" t="s">
        <v>13</v>
      </c>
      <c r="P104" s="3" t="s">
        <v>101</v>
      </c>
      <c r="Q104" s="3" t="s">
        <v>52</v>
      </c>
      <c r="R104" s="3">
        <v>1</v>
      </c>
    </row>
    <row r="105" spans="2:18" ht="29" x14ac:dyDescent="0.35">
      <c r="B105">
        <v>13</v>
      </c>
      <c r="C105" s="3">
        <v>13</v>
      </c>
      <c r="D105" s="3">
        <v>11</v>
      </c>
      <c r="E105" s="3"/>
      <c r="F105" s="3"/>
      <c r="G105" s="3"/>
      <c r="I105" s="3" t="s">
        <v>71</v>
      </c>
      <c r="J105" s="3"/>
      <c r="K105" s="3"/>
      <c r="L105" s="3"/>
      <c r="M105" t="s">
        <v>212</v>
      </c>
      <c r="N105" t="s">
        <v>213</v>
      </c>
      <c r="O105" s="6" t="s">
        <v>213</v>
      </c>
      <c r="P105" s="3" t="s">
        <v>101</v>
      </c>
      <c r="Q105" s="3" t="s">
        <v>55</v>
      </c>
      <c r="R105" s="3">
        <v>1</v>
      </c>
    </row>
    <row r="106" spans="2:18" x14ac:dyDescent="0.35">
      <c r="B106">
        <v>14</v>
      </c>
      <c r="C106" s="3">
        <v>14</v>
      </c>
      <c r="D106" s="3">
        <v>11</v>
      </c>
      <c r="E106" s="3"/>
      <c r="F106" s="3"/>
      <c r="G106" s="3"/>
      <c r="I106" s="3"/>
      <c r="J106" s="3"/>
      <c r="K106" s="3"/>
      <c r="L106" s="3"/>
      <c r="M106" t="s">
        <v>166</v>
      </c>
      <c r="N106" t="s">
        <v>214</v>
      </c>
      <c r="O106" s="6" t="s">
        <v>214</v>
      </c>
      <c r="P106" s="3" t="s">
        <v>101</v>
      </c>
      <c r="Q106" s="3" t="s">
        <v>53</v>
      </c>
      <c r="R106" s="3">
        <v>1</v>
      </c>
    </row>
    <row r="107" spans="2:18" x14ac:dyDescent="0.35">
      <c r="B107">
        <v>15</v>
      </c>
      <c r="C107" s="3">
        <v>15</v>
      </c>
      <c r="D107" s="3">
        <v>12</v>
      </c>
      <c r="E107" s="3" t="s">
        <v>116</v>
      </c>
      <c r="F107" s="3"/>
      <c r="G107" s="3"/>
      <c r="I107" s="3" t="s">
        <v>185</v>
      </c>
      <c r="J107" s="3"/>
      <c r="K107" s="3"/>
      <c r="L107" s="3"/>
      <c r="M107" t="s">
        <v>152</v>
      </c>
      <c r="N107" t="s">
        <v>16</v>
      </c>
      <c r="O107" s="6" t="s">
        <v>16</v>
      </c>
      <c r="P107" s="3" t="s">
        <v>101</v>
      </c>
      <c r="Q107" s="3" t="s">
        <v>52</v>
      </c>
      <c r="R107" s="3">
        <v>1</v>
      </c>
    </row>
    <row r="108" spans="2:18" x14ac:dyDescent="0.35">
      <c r="B108">
        <v>16</v>
      </c>
      <c r="C108" s="3">
        <v>16</v>
      </c>
      <c r="D108" s="3">
        <v>1</v>
      </c>
      <c r="E108" s="3" t="s">
        <v>75</v>
      </c>
      <c r="F108" s="3"/>
      <c r="I108" s="3" t="s">
        <v>69</v>
      </c>
      <c r="J108" s="3" t="s">
        <v>71</v>
      </c>
      <c r="K108" s="3"/>
      <c r="L108" s="3"/>
      <c r="M108" t="s">
        <v>55</v>
      </c>
      <c r="N108" t="s">
        <v>0</v>
      </c>
      <c r="O108" s="6" t="s">
        <v>0</v>
      </c>
      <c r="P108" s="3" t="s">
        <v>103</v>
      </c>
      <c r="Q108" s="3" t="s">
        <v>55</v>
      </c>
      <c r="R108" s="3">
        <v>0</v>
      </c>
    </row>
    <row r="109" spans="2:18" ht="29" x14ac:dyDescent="0.35">
      <c r="B109">
        <v>17</v>
      </c>
      <c r="C109" s="3">
        <v>17</v>
      </c>
      <c r="D109" s="3">
        <v>2</v>
      </c>
      <c r="E109" s="3"/>
      <c r="F109" s="3"/>
      <c r="G109" s="3"/>
      <c r="I109" s="3" t="s">
        <v>72</v>
      </c>
      <c r="J109" s="3" t="s">
        <v>82</v>
      </c>
      <c r="K109" s="3"/>
      <c r="L109" s="3"/>
      <c r="M109" t="s">
        <v>54</v>
      </c>
      <c r="N109" t="s">
        <v>275</v>
      </c>
      <c r="O109" s="6" t="s">
        <v>275</v>
      </c>
      <c r="P109" s="3" t="s">
        <v>103</v>
      </c>
      <c r="Q109" s="3" t="s">
        <v>54</v>
      </c>
      <c r="R109" s="3">
        <v>0</v>
      </c>
    </row>
    <row r="110" spans="2:18" ht="29" x14ac:dyDescent="0.35">
      <c r="B110">
        <v>18</v>
      </c>
      <c r="C110" s="3">
        <v>18</v>
      </c>
      <c r="D110" s="3">
        <v>11</v>
      </c>
      <c r="E110" s="3"/>
      <c r="F110" s="3"/>
      <c r="G110" s="3"/>
      <c r="I110" s="3" t="s">
        <v>70</v>
      </c>
      <c r="J110" s="3"/>
      <c r="K110" s="3"/>
      <c r="L110" s="3"/>
      <c r="M110" t="s">
        <v>53</v>
      </c>
      <c r="N110" s="3" t="s">
        <v>216</v>
      </c>
      <c r="O110" s="6" t="s">
        <v>216</v>
      </c>
      <c r="P110" s="3" t="s">
        <v>103</v>
      </c>
      <c r="Q110" s="3" t="s">
        <v>53</v>
      </c>
      <c r="R110" s="3">
        <v>0</v>
      </c>
    </row>
    <row r="111" spans="2:18" x14ac:dyDescent="0.35">
      <c r="B111">
        <v>19</v>
      </c>
      <c r="C111" s="3">
        <v>19</v>
      </c>
      <c r="D111" s="3">
        <v>3</v>
      </c>
      <c r="E111" s="3" t="s">
        <v>73</v>
      </c>
      <c r="F111" s="3"/>
      <c r="G111" s="3"/>
      <c r="I111" s="3"/>
      <c r="J111" s="3"/>
      <c r="K111" s="3"/>
      <c r="L111" s="3"/>
      <c r="M111" t="s">
        <v>53</v>
      </c>
      <c r="N111" s="3" t="s">
        <v>8</v>
      </c>
      <c r="O111" s="6" t="s">
        <v>8</v>
      </c>
      <c r="P111" s="3" t="s">
        <v>101</v>
      </c>
      <c r="Q111" s="3" t="s">
        <v>53</v>
      </c>
      <c r="R111" s="3">
        <v>3</v>
      </c>
    </row>
    <row r="112" spans="2:18" x14ac:dyDescent="0.35">
      <c r="B112">
        <v>20</v>
      </c>
      <c r="C112" s="3">
        <v>20</v>
      </c>
      <c r="D112" s="3">
        <v>1</v>
      </c>
      <c r="E112" s="3" t="s">
        <v>75</v>
      </c>
      <c r="F112" s="3" t="s">
        <v>119</v>
      </c>
      <c r="G112" s="3"/>
      <c r="I112" s="3" t="s">
        <v>69</v>
      </c>
      <c r="J112" s="3"/>
      <c r="K112" s="3"/>
      <c r="L112" s="3"/>
      <c r="M112" t="s">
        <v>55</v>
      </c>
      <c r="N112" t="s">
        <v>0</v>
      </c>
      <c r="O112" s="6" t="s">
        <v>0</v>
      </c>
      <c r="P112" s="3" t="s">
        <v>103</v>
      </c>
      <c r="Q112" s="3" t="s">
        <v>55</v>
      </c>
      <c r="R112" s="3">
        <v>0</v>
      </c>
    </row>
    <row r="113" spans="2:18" x14ac:dyDescent="0.35">
      <c r="B113">
        <v>21</v>
      </c>
      <c r="C113" s="3">
        <v>21</v>
      </c>
      <c r="D113" s="3">
        <v>6</v>
      </c>
      <c r="E113" s="3"/>
      <c r="F113" s="3"/>
      <c r="G113" s="3"/>
      <c r="I113" s="3" t="s">
        <v>100</v>
      </c>
      <c r="J113" s="3" t="s">
        <v>99</v>
      </c>
      <c r="K113" s="3"/>
      <c r="L113" s="3"/>
      <c r="M113" t="s">
        <v>168</v>
      </c>
      <c r="N113" s="3" t="s">
        <v>112</v>
      </c>
      <c r="O113" s="6" t="s">
        <v>112</v>
      </c>
      <c r="P113" s="3" t="s">
        <v>101</v>
      </c>
      <c r="Q113" s="3" t="s">
        <v>52</v>
      </c>
      <c r="R113" s="3">
        <v>1</v>
      </c>
    </row>
    <row r="114" spans="2:18" ht="29" x14ac:dyDescent="0.35">
      <c r="B114">
        <v>22</v>
      </c>
      <c r="C114" s="3">
        <v>22</v>
      </c>
      <c r="D114" s="3">
        <v>11</v>
      </c>
      <c r="E114" s="3"/>
      <c r="F114" s="3"/>
      <c r="G114" s="3"/>
      <c r="I114" s="3" t="s">
        <v>80</v>
      </c>
      <c r="J114" s="3"/>
      <c r="K114" s="3"/>
      <c r="L114" s="3"/>
      <c r="M114" t="s">
        <v>53</v>
      </c>
      <c r="N114" s="3" t="s">
        <v>198</v>
      </c>
      <c r="O114" s="6" t="s">
        <v>198</v>
      </c>
      <c r="P114" s="3" t="s">
        <v>101</v>
      </c>
      <c r="Q114" s="3" t="s">
        <v>53</v>
      </c>
      <c r="R114" s="3">
        <v>5</v>
      </c>
    </row>
    <row r="115" spans="2:18" ht="29" x14ac:dyDescent="0.35">
      <c r="B115">
        <v>23</v>
      </c>
      <c r="C115" s="3">
        <v>23</v>
      </c>
      <c r="D115" s="3">
        <v>11</v>
      </c>
      <c r="E115" t="s">
        <v>74</v>
      </c>
      <c r="M115" t="s">
        <v>215</v>
      </c>
      <c r="N115" s="3" t="s">
        <v>167</v>
      </c>
      <c r="O115" s="6" t="s">
        <v>167</v>
      </c>
      <c r="P115" s="3" t="s">
        <v>101</v>
      </c>
      <c r="Q115" s="3" t="s">
        <v>52</v>
      </c>
      <c r="R115" s="3">
        <v>1</v>
      </c>
    </row>
    <row r="116" spans="2:18" ht="29" x14ac:dyDescent="0.35">
      <c r="B116">
        <v>24</v>
      </c>
      <c r="C116" s="3">
        <v>24</v>
      </c>
      <c r="D116" s="3">
        <v>11</v>
      </c>
      <c r="E116" s="3"/>
      <c r="F116" s="3"/>
      <c r="G116" s="3"/>
      <c r="I116" s="3" t="s">
        <v>81</v>
      </c>
      <c r="J116" s="3"/>
      <c r="K116" s="3"/>
      <c r="L116" s="3"/>
      <c r="M116" t="s">
        <v>53</v>
      </c>
      <c r="N116" t="s">
        <v>198</v>
      </c>
      <c r="O116" s="6" t="s">
        <v>198</v>
      </c>
      <c r="P116" s="3" t="s">
        <v>101</v>
      </c>
      <c r="Q116" s="3" t="s">
        <v>53</v>
      </c>
      <c r="R116" s="3">
        <v>4</v>
      </c>
    </row>
    <row r="117" spans="2:18" x14ac:dyDescent="0.35">
      <c r="B117">
        <v>25</v>
      </c>
      <c r="C117" s="3">
        <v>25</v>
      </c>
      <c r="D117" s="3">
        <v>3</v>
      </c>
      <c r="E117" s="3" t="s">
        <v>79</v>
      </c>
      <c r="I117" s="3" t="s">
        <v>70</v>
      </c>
      <c r="J117" s="3"/>
      <c r="M117" t="s">
        <v>53</v>
      </c>
      <c r="N117" s="3" t="s">
        <v>7</v>
      </c>
      <c r="O117" s="6" t="s">
        <v>7</v>
      </c>
      <c r="P117" s="3" t="s">
        <v>103</v>
      </c>
      <c r="Q117" s="3" t="s">
        <v>53</v>
      </c>
      <c r="R117" s="3">
        <v>0</v>
      </c>
    </row>
    <row r="118" spans="2:18" x14ac:dyDescent="0.35">
      <c r="B118">
        <v>26</v>
      </c>
      <c r="C118" s="3">
        <v>26</v>
      </c>
      <c r="D118" s="21">
        <v>3</v>
      </c>
      <c r="E118" s="3" t="s">
        <v>83</v>
      </c>
      <c r="I118" s="3" t="s">
        <v>157</v>
      </c>
      <c r="M118" t="s">
        <v>54</v>
      </c>
      <c r="N118" s="3" t="s">
        <v>191</v>
      </c>
      <c r="O118" s="6" t="s">
        <v>191</v>
      </c>
      <c r="P118" s="3" t="s">
        <v>101</v>
      </c>
      <c r="Q118" s="3" t="s">
        <v>54</v>
      </c>
      <c r="R118" s="3">
        <v>1</v>
      </c>
    </row>
    <row r="119" spans="2:18" ht="29" x14ac:dyDescent="0.35">
      <c r="B119">
        <v>27</v>
      </c>
      <c r="C119" s="3">
        <v>27</v>
      </c>
      <c r="D119" s="21">
        <v>7</v>
      </c>
      <c r="I119" s="3" t="s">
        <v>82</v>
      </c>
      <c r="M119" t="s">
        <v>53</v>
      </c>
      <c r="N119" s="3" t="s">
        <v>192</v>
      </c>
      <c r="O119" s="6" t="s">
        <v>192</v>
      </c>
      <c r="P119" s="3" t="s">
        <v>101</v>
      </c>
      <c r="Q119" s="3" t="s">
        <v>53</v>
      </c>
      <c r="R119" s="3">
        <v>2</v>
      </c>
    </row>
    <row r="120" spans="2:18" ht="29" x14ac:dyDescent="0.35">
      <c r="B120">
        <v>28</v>
      </c>
      <c r="C120" s="3">
        <v>28</v>
      </c>
      <c r="D120" s="21">
        <v>11</v>
      </c>
      <c r="I120" s="3" t="s">
        <v>100</v>
      </c>
      <c r="J120" t="s">
        <v>99</v>
      </c>
      <c r="M120" t="s">
        <v>168</v>
      </c>
      <c r="N120" s="3" t="s">
        <v>216</v>
      </c>
      <c r="O120" s="6" t="s">
        <v>216</v>
      </c>
      <c r="P120" s="3" t="s">
        <v>101</v>
      </c>
      <c r="Q120" s="3" t="s">
        <v>52</v>
      </c>
      <c r="R120" s="3">
        <v>1</v>
      </c>
    </row>
    <row r="131" hidden="1" x14ac:dyDescent="0.35"/>
    <row r="132" hidden="1" x14ac:dyDescent="0.35"/>
    <row r="133" hidden="1" x14ac:dyDescent="0.35"/>
    <row r="134" hidden="1" x14ac:dyDescent="0.35"/>
    <row r="135" hidden="1" x14ac:dyDescent="0.35"/>
    <row r="136" hidden="1" x14ac:dyDescent="0.35"/>
    <row r="137" hidden="1" x14ac:dyDescent="0.35"/>
    <row r="138" hidden="1" x14ac:dyDescent="0.35"/>
    <row r="139" hidden="1" x14ac:dyDescent="0.35"/>
    <row r="140" hidden="1" x14ac:dyDescent="0.35"/>
    <row r="141" hidden="1" x14ac:dyDescent="0.35"/>
    <row r="142" hidden="1" x14ac:dyDescent="0.35"/>
    <row r="143" hidden="1" x14ac:dyDescent="0.35"/>
    <row r="144" hidden="1" x14ac:dyDescent="0.35"/>
    <row r="145" spans="33:159" hidden="1" x14ac:dyDescent="0.35"/>
    <row r="146" spans="33:159" hidden="1" x14ac:dyDescent="0.35"/>
    <row r="147" spans="33:159" hidden="1" x14ac:dyDescent="0.35"/>
    <row r="148" spans="33:159" hidden="1" x14ac:dyDescent="0.35"/>
    <row r="149" spans="33:159" hidden="1" x14ac:dyDescent="0.35"/>
    <row r="150" spans="33:159" hidden="1" x14ac:dyDescent="0.35"/>
    <row r="151" spans="33:159" hidden="1" x14ac:dyDescent="0.35"/>
    <row r="152" spans="33:159" hidden="1" x14ac:dyDescent="0.35"/>
    <row r="153" spans="33:159" hidden="1" x14ac:dyDescent="0.35"/>
    <row r="154" spans="33:159" hidden="1" x14ac:dyDescent="0.35"/>
    <row r="155" spans="33:159" hidden="1" x14ac:dyDescent="0.35">
      <c r="AG155" t="s">
        <v>57</v>
      </c>
      <c r="BP155" t="s">
        <v>58</v>
      </c>
      <c r="CV155" t="s">
        <v>59</v>
      </c>
      <c r="EA155" t="s">
        <v>60</v>
      </c>
    </row>
    <row r="156" spans="33:159" hidden="1" x14ac:dyDescent="0.35"/>
    <row r="157" spans="33:159" s="4" customFormat="1" hidden="1" x14ac:dyDescent="0.35">
      <c r="AJ157" s="4">
        <v>1</v>
      </c>
      <c r="AK157" s="4">
        <f>AJ157+1</f>
        <v>2</v>
      </c>
      <c r="AL157" s="4">
        <f t="shared" ref="AL157:BI157" si="4">AK157+1</f>
        <v>3</v>
      </c>
      <c r="AM157" s="4">
        <f t="shared" si="4"/>
        <v>4</v>
      </c>
      <c r="AN157" s="4">
        <f t="shared" si="4"/>
        <v>5</v>
      </c>
      <c r="AO157" s="4">
        <f t="shared" si="4"/>
        <v>6</v>
      </c>
      <c r="AP157" s="4">
        <f t="shared" si="4"/>
        <v>7</v>
      </c>
      <c r="AQ157" s="4">
        <f t="shared" si="4"/>
        <v>8</v>
      </c>
      <c r="AR157" s="4">
        <f t="shared" si="4"/>
        <v>9</v>
      </c>
      <c r="AS157" s="4">
        <f t="shared" si="4"/>
        <v>10</v>
      </c>
      <c r="AT157" s="4">
        <f t="shared" si="4"/>
        <v>11</v>
      </c>
      <c r="AU157" s="4">
        <f t="shared" si="4"/>
        <v>12</v>
      </c>
      <c r="AV157" s="4">
        <f t="shared" si="4"/>
        <v>13</v>
      </c>
      <c r="AW157" s="4">
        <f t="shared" si="4"/>
        <v>14</v>
      </c>
      <c r="AX157" s="4">
        <f t="shared" si="4"/>
        <v>15</v>
      </c>
      <c r="AY157" s="4">
        <f t="shared" si="4"/>
        <v>16</v>
      </c>
      <c r="AZ157" s="4">
        <f t="shared" si="4"/>
        <v>17</v>
      </c>
      <c r="BA157" s="4">
        <f t="shared" si="4"/>
        <v>18</v>
      </c>
      <c r="BB157" s="4">
        <f t="shared" si="4"/>
        <v>19</v>
      </c>
      <c r="BC157" s="4">
        <f>BB157+1</f>
        <v>20</v>
      </c>
      <c r="BD157" s="4">
        <f t="shared" si="4"/>
        <v>21</v>
      </c>
      <c r="BE157" s="4">
        <f t="shared" si="4"/>
        <v>22</v>
      </c>
      <c r="BF157" s="4">
        <f t="shared" si="4"/>
        <v>23</v>
      </c>
      <c r="BG157" s="4">
        <f t="shared" si="4"/>
        <v>24</v>
      </c>
      <c r="BH157" s="4">
        <f>BG157+1</f>
        <v>25</v>
      </c>
      <c r="BI157" s="4">
        <f t="shared" si="4"/>
        <v>26</v>
      </c>
      <c r="BR157" s="4">
        <v>1</v>
      </c>
      <c r="BS157" s="4">
        <f>BR157+1</f>
        <v>2</v>
      </c>
      <c r="BT157" s="4">
        <f t="shared" ref="BT157:CQ157" si="5">BS157+1</f>
        <v>3</v>
      </c>
      <c r="BU157" s="4">
        <f t="shared" si="5"/>
        <v>4</v>
      </c>
      <c r="BV157" s="4">
        <f t="shared" si="5"/>
        <v>5</v>
      </c>
      <c r="BW157" s="4">
        <f t="shared" si="5"/>
        <v>6</v>
      </c>
      <c r="BX157" s="4">
        <f t="shared" si="5"/>
        <v>7</v>
      </c>
      <c r="BY157" s="4">
        <f t="shared" si="5"/>
        <v>8</v>
      </c>
      <c r="BZ157" s="4">
        <f t="shared" si="5"/>
        <v>9</v>
      </c>
      <c r="CA157" s="4">
        <f t="shared" si="5"/>
        <v>10</v>
      </c>
      <c r="CB157" s="4">
        <f t="shared" si="5"/>
        <v>11</v>
      </c>
      <c r="CC157" s="4">
        <f t="shared" si="5"/>
        <v>12</v>
      </c>
      <c r="CD157" s="4">
        <f t="shared" si="5"/>
        <v>13</v>
      </c>
      <c r="CE157" s="4">
        <f t="shared" si="5"/>
        <v>14</v>
      </c>
      <c r="CF157" s="4">
        <f t="shared" si="5"/>
        <v>15</v>
      </c>
      <c r="CG157" s="4">
        <f t="shared" si="5"/>
        <v>16</v>
      </c>
      <c r="CH157" s="4">
        <f t="shared" si="5"/>
        <v>17</v>
      </c>
      <c r="CI157" s="4">
        <f t="shared" si="5"/>
        <v>18</v>
      </c>
      <c r="CJ157" s="4">
        <f t="shared" si="5"/>
        <v>19</v>
      </c>
      <c r="CK157" s="4">
        <f>CJ157+1</f>
        <v>20</v>
      </c>
      <c r="CL157" s="4">
        <f t="shared" si="5"/>
        <v>21</v>
      </c>
      <c r="CM157" s="4">
        <f t="shared" si="5"/>
        <v>22</v>
      </c>
      <c r="CN157" s="4">
        <f t="shared" si="5"/>
        <v>23</v>
      </c>
      <c r="CO157" s="4">
        <f t="shared" si="5"/>
        <v>24</v>
      </c>
      <c r="CP157" s="4">
        <f>CO157+1</f>
        <v>25</v>
      </c>
      <c r="CQ157" s="4">
        <f t="shared" si="5"/>
        <v>26</v>
      </c>
      <c r="CX157" s="4">
        <v>1</v>
      </c>
      <c r="CY157" s="4">
        <f>CX157+1</f>
        <v>2</v>
      </c>
      <c r="CZ157" s="4">
        <f t="shared" ref="CZ157:FC157" si="6">CY157+1</f>
        <v>3</v>
      </c>
      <c r="DA157" s="4">
        <f t="shared" si="6"/>
        <v>4</v>
      </c>
      <c r="DB157" s="4">
        <f t="shared" si="6"/>
        <v>5</v>
      </c>
      <c r="DC157" s="4">
        <f t="shared" si="6"/>
        <v>6</v>
      </c>
      <c r="DD157" s="4">
        <f t="shared" si="6"/>
        <v>7</v>
      </c>
      <c r="DE157" s="4">
        <f t="shared" si="6"/>
        <v>8</v>
      </c>
      <c r="DF157" s="4">
        <f t="shared" si="6"/>
        <v>9</v>
      </c>
      <c r="DG157" s="4">
        <f t="shared" si="6"/>
        <v>10</v>
      </c>
      <c r="DH157" s="4">
        <f t="shared" si="6"/>
        <v>11</v>
      </c>
      <c r="DI157" s="4">
        <f t="shared" si="6"/>
        <v>12</v>
      </c>
      <c r="DJ157" s="4">
        <f t="shared" si="6"/>
        <v>13</v>
      </c>
      <c r="DK157" s="4">
        <f t="shared" si="6"/>
        <v>14</v>
      </c>
      <c r="DL157" s="4">
        <f t="shared" si="6"/>
        <v>15</v>
      </c>
      <c r="DM157" s="4">
        <f t="shared" si="6"/>
        <v>16</v>
      </c>
      <c r="DN157" s="4">
        <f t="shared" si="6"/>
        <v>17</v>
      </c>
      <c r="DO157" s="4">
        <f t="shared" si="6"/>
        <v>18</v>
      </c>
      <c r="DP157" s="4">
        <f t="shared" si="6"/>
        <v>19</v>
      </c>
      <c r="DQ157" s="4">
        <f t="shared" si="6"/>
        <v>20</v>
      </c>
      <c r="DR157" s="4">
        <f t="shared" si="6"/>
        <v>21</v>
      </c>
      <c r="DS157" s="4">
        <f t="shared" si="6"/>
        <v>22</v>
      </c>
      <c r="DT157" s="4">
        <f t="shared" si="6"/>
        <v>23</v>
      </c>
      <c r="DU157" s="4">
        <f t="shared" si="6"/>
        <v>24</v>
      </c>
      <c r="DV157" s="4">
        <f t="shared" si="6"/>
        <v>25</v>
      </c>
      <c r="DW157" s="4">
        <f t="shared" si="6"/>
        <v>26</v>
      </c>
      <c r="ED157" s="4">
        <v>1</v>
      </c>
      <c r="EE157" s="4">
        <f>ED157+1</f>
        <v>2</v>
      </c>
      <c r="EF157" s="4">
        <f t="shared" si="6"/>
        <v>3</v>
      </c>
      <c r="EG157" s="4">
        <f t="shared" si="6"/>
        <v>4</v>
      </c>
      <c r="EH157" s="4">
        <f t="shared" si="6"/>
        <v>5</v>
      </c>
      <c r="EI157" s="4">
        <f t="shared" si="6"/>
        <v>6</v>
      </c>
      <c r="EJ157" s="4">
        <f t="shared" si="6"/>
        <v>7</v>
      </c>
      <c r="EK157" s="4">
        <f t="shared" si="6"/>
        <v>8</v>
      </c>
      <c r="EL157" s="4">
        <f t="shared" si="6"/>
        <v>9</v>
      </c>
      <c r="EM157" s="4">
        <f t="shared" si="6"/>
        <v>10</v>
      </c>
      <c r="EN157" s="4">
        <f t="shared" si="6"/>
        <v>11</v>
      </c>
      <c r="EO157" s="4">
        <f t="shared" si="6"/>
        <v>12</v>
      </c>
      <c r="EP157" s="4">
        <f t="shared" si="6"/>
        <v>13</v>
      </c>
      <c r="EQ157" s="4">
        <f t="shared" si="6"/>
        <v>14</v>
      </c>
      <c r="ER157" s="4">
        <f t="shared" si="6"/>
        <v>15</v>
      </c>
      <c r="ES157" s="4">
        <f t="shared" si="6"/>
        <v>16</v>
      </c>
      <c r="ET157" s="4">
        <f t="shared" si="6"/>
        <v>17</v>
      </c>
      <c r="EU157" s="4">
        <f t="shared" si="6"/>
        <v>18</v>
      </c>
      <c r="EV157" s="4">
        <f t="shared" si="6"/>
        <v>19</v>
      </c>
      <c r="EW157" s="4">
        <f t="shared" si="6"/>
        <v>20</v>
      </c>
      <c r="EX157" s="4">
        <f t="shared" si="6"/>
        <v>21</v>
      </c>
      <c r="EY157" s="4">
        <f t="shared" si="6"/>
        <v>22</v>
      </c>
      <c r="EZ157" s="4">
        <f t="shared" si="6"/>
        <v>23</v>
      </c>
      <c r="FA157" s="4">
        <f t="shared" si="6"/>
        <v>24</v>
      </c>
      <c r="FB157" s="4">
        <f t="shared" si="6"/>
        <v>25</v>
      </c>
      <c r="FC157" s="4">
        <f t="shared" si="6"/>
        <v>26</v>
      </c>
    </row>
    <row r="158" spans="33:159" hidden="1" x14ac:dyDescent="0.35"/>
    <row r="159" spans="33:159" hidden="1" x14ac:dyDescent="0.35"/>
    <row r="160" spans="33:159" hidden="1" x14ac:dyDescent="0.35"/>
    <row r="161" hidden="1" x14ac:dyDescent="0.35"/>
    <row r="162" hidden="1" x14ac:dyDescent="0.35"/>
    <row r="163" hidden="1" x14ac:dyDescent="0.35"/>
    <row r="164" hidden="1" x14ac:dyDescent="0.35"/>
    <row r="165" hidden="1" x14ac:dyDescent="0.35"/>
    <row r="166" hidden="1" x14ac:dyDescent="0.35"/>
    <row r="167" hidden="1" x14ac:dyDescent="0.35"/>
    <row r="168" hidden="1" x14ac:dyDescent="0.35"/>
    <row r="169" hidden="1" x14ac:dyDescent="0.35"/>
    <row r="170" hidden="1" x14ac:dyDescent="0.35"/>
    <row r="171" hidden="1" x14ac:dyDescent="0.35"/>
    <row r="172" hidden="1" x14ac:dyDescent="0.35"/>
    <row r="173" hidden="1" x14ac:dyDescent="0.35"/>
    <row r="174" hidden="1" x14ac:dyDescent="0.35"/>
    <row r="175" hidden="1" x14ac:dyDescent="0.35"/>
    <row r="176" hidden="1" x14ac:dyDescent="0.35"/>
    <row r="177" hidden="1" x14ac:dyDescent="0.35"/>
    <row r="178" hidden="1" x14ac:dyDescent="0.35"/>
    <row r="179" hidden="1" x14ac:dyDescent="0.35"/>
    <row r="180" hidden="1" x14ac:dyDescent="0.35"/>
    <row r="181" hidden="1" x14ac:dyDescent="0.35"/>
    <row r="182" hidden="1" x14ac:dyDescent="0.35"/>
    <row r="183" hidden="1" x14ac:dyDescent="0.35"/>
    <row r="184" hidden="1" x14ac:dyDescent="0.35"/>
    <row r="185" hidden="1" x14ac:dyDescent="0.35"/>
    <row r="186" hidden="1" x14ac:dyDescent="0.35"/>
    <row r="187" hidden="1" x14ac:dyDescent="0.35"/>
    <row r="188" hidden="1" x14ac:dyDescent="0.35"/>
    <row r="189" hidden="1" x14ac:dyDescent="0.35"/>
    <row r="190" hidden="1" x14ac:dyDescent="0.35"/>
    <row r="191" hidden="1" x14ac:dyDescent="0.35"/>
    <row r="192" hidden="1" x14ac:dyDescent="0.35"/>
    <row r="193" hidden="1" x14ac:dyDescent="0.35"/>
    <row r="194" hidden="1" x14ac:dyDescent="0.35"/>
    <row r="195" hidden="1" x14ac:dyDescent="0.35"/>
    <row r="196" hidden="1" x14ac:dyDescent="0.35"/>
    <row r="197" hidden="1" x14ac:dyDescent="0.35"/>
    <row r="198" hidden="1" x14ac:dyDescent="0.35"/>
    <row r="199" hidden="1" x14ac:dyDescent="0.35"/>
    <row r="200" hidden="1" x14ac:dyDescent="0.35"/>
    <row r="201" hidden="1" x14ac:dyDescent="0.35"/>
    <row r="202" hidden="1" x14ac:dyDescent="0.35"/>
    <row r="203" hidden="1" x14ac:dyDescent="0.35"/>
    <row r="204" hidden="1" x14ac:dyDescent="0.35"/>
    <row r="205" hidden="1" x14ac:dyDescent="0.35"/>
    <row r="206" hidden="1" x14ac:dyDescent="0.35"/>
    <row r="207" hidden="1" x14ac:dyDescent="0.35"/>
    <row r="208" hidden="1" x14ac:dyDescent="0.35"/>
    <row r="209" spans="2:30" hidden="1" x14ac:dyDescent="0.35"/>
    <row r="212" spans="2:30" x14ac:dyDescent="0.35">
      <c r="E212" s="4">
        <v>1</v>
      </c>
      <c r="F212" s="4">
        <f t="shared" ref="F212:Z212" si="7">E212+1</f>
        <v>2</v>
      </c>
      <c r="G212" s="4">
        <f t="shared" si="7"/>
        <v>3</v>
      </c>
      <c r="H212" s="4">
        <f t="shared" si="7"/>
        <v>4</v>
      </c>
      <c r="I212" s="4">
        <f t="shared" si="7"/>
        <v>5</v>
      </c>
      <c r="J212" s="4">
        <f t="shared" si="7"/>
        <v>6</v>
      </c>
      <c r="K212" s="4">
        <f t="shared" si="7"/>
        <v>7</v>
      </c>
      <c r="L212" s="4">
        <f t="shared" si="7"/>
        <v>8</v>
      </c>
      <c r="M212" s="4">
        <f t="shared" si="7"/>
        <v>9</v>
      </c>
      <c r="N212" s="4">
        <f t="shared" si="7"/>
        <v>10</v>
      </c>
      <c r="O212" s="4">
        <f t="shared" si="7"/>
        <v>11</v>
      </c>
      <c r="P212" s="4">
        <f t="shared" si="7"/>
        <v>12</v>
      </c>
      <c r="Q212" s="4">
        <f t="shared" si="7"/>
        <v>13</v>
      </c>
      <c r="R212" s="4">
        <f t="shared" si="7"/>
        <v>14</v>
      </c>
      <c r="S212" s="4">
        <f t="shared" si="7"/>
        <v>15</v>
      </c>
      <c r="T212" s="4">
        <f t="shared" si="7"/>
        <v>16</v>
      </c>
      <c r="U212" s="4">
        <f t="shared" si="7"/>
        <v>17</v>
      </c>
      <c r="V212" s="4">
        <f t="shared" si="7"/>
        <v>18</v>
      </c>
      <c r="W212" s="4">
        <f t="shared" si="7"/>
        <v>19</v>
      </c>
      <c r="X212" s="4">
        <f t="shared" si="7"/>
        <v>20</v>
      </c>
      <c r="Y212" s="4">
        <f t="shared" si="7"/>
        <v>21</v>
      </c>
      <c r="Z212" s="4">
        <f t="shared" si="7"/>
        <v>22</v>
      </c>
      <c r="AA212" s="4">
        <v>23</v>
      </c>
      <c r="AB212" s="4">
        <v>24</v>
      </c>
      <c r="AC212" s="4"/>
      <c r="AD212" s="4"/>
    </row>
    <row r="213" spans="2:30" ht="15" thickBot="1" x14ac:dyDescent="0.4">
      <c r="E213" s="12">
        <v>0.375</v>
      </c>
      <c r="F213" s="12">
        <v>0.38541666666666669</v>
      </c>
      <c r="G213" s="12">
        <v>0.39583333333333298</v>
      </c>
      <c r="H213" s="12">
        <v>0.40625</v>
      </c>
      <c r="I213" s="12">
        <v>0.41666666666666702</v>
      </c>
      <c r="J213" s="12">
        <v>0.4236111111111111</v>
      </c>
      <c r="K213" s="12">
        <v>0.43055555555555558</v>
      </c>
      <c r="L213" s="12">
        <v>0.4375</v>
      </c>
      <c r="M213" s="12">
        <v>0.44444444444444442</v>
      </c>
      <c r="N213" s="12">
        <v>0.45833333333333331</v>
      </c>
      <c r="O213" s="12">
        <v>0.47222222222222227</v>
      </c>
      <c r="P213" s="12">
        <v>0.4861111111111111</v>
      </c>
      <c r="Q213" s="12">
        <v>0.5</v>
      </c>
      <c r="R213" s="12">
        <v>0.51041666666666663</v>
      </c>
      <c r="S213" s="12">
        <v>0.52083333333333337</v>
      </c>
      <c r="T213" s="12">
        <v>0.53125</v>
      </c>
      <c r="U213" s="12">
        <v>0.54166666666666663</v>
      </c>
      <c r="V213" s="12">
        <v>0.55555555555555558</v>
      </c>
      <c r="W213" s="12">
        <v>0.56944444444444442</v>
      </c>
      <c r="X213" s="12">
        <v>0.58333333333333337</v>
      </c>
      <c r="Y213" s="12">
        <v>0.59722222222222221</v>
      </c>
      <c r="Z213" s="12">
        <v>0.61111111111111105</v>
      </c>
      <c r="AA213" s="12">
        <v>0.625</v>
      </c>
      <c r="AB213" s="12">
        <v>0.63888888888888895</v>
      </c>
      <c r="AC213" s="12"/>
      <c r="AD213" s="12"/>
    </row>
    <row r="214" spans="2:30" ht="15" thickBot="1" x14ac:dyDescent="0.4">
      <c r="D214" t="s">
        <v>115</v>
      </c>
      <c r="E214" s="61" t="s">
        <v>155</v>
      </c>
      <c r="F214" s="63"/>
      <c r="G214" s="61" t="s">
        <v>200</v>
      </c>
      <c r="H214" s="63"/>
      <c r="I214" s="61" t="s">
        <v>78</v>
      </c>
      <c r="J214" s="63"/>
      <c r="K214" s="59" t="s">
        <v>109</v>
      </c>
      <c r="L214" s="62"/>
      <c r="M214" s="60"/>
      <c r="N214" s="59" t="s">
        <v>110</v>
      </c>
      <c r="O214" s="62"/>
      <c r="P214" s="60"/>
      <c r="Q214" s="61" t="s">
        <v>112</v>
      </c>
      <c r="R214" s="63"/>
      <c r="S214" s="61" t="s">
        <v>113</v>
      </c>
      <c r="T214" s="62"/>
      <c r="U214" s="59" t="s">
        <v>111</v>
      </c>
      <c r="V214" s="60"/>
      <c r="W214" s="59" t="s">
        <v>114</v>
      </c>
      <c r="X214" s="60"/>
      <c r="Y214" s="59" t="s">
        <v>201</v>
      </c>
      <c r="Z214" s="60"/>
      <c r="AA214" s="24" t="s">
        <v>202</v>
      </c>
      <c r="AB214" s="20"/>
      <c r="AC214" s="20"/>
      <c r="AD214" s="20"/>
    </row>
    <row r="215" spans="2:30" s="7" customFormat="1" ht="10" customHeight="1" thickBot="1" x14ac:dyDescent="0.35">
      <c r="B215" s="39"/>
      <c r="C215" s="7" t="s">
        <v>0</v>
      </c>
      <c r="D215" s="7" t="s">
        <v>104</v>
      </c>
      <c r="E215" s="69" t="s">
        <v>155</v>
      </c>
      <c r="F215" s="25" t="s">
        <v>69</v>
      </c>
      <c r="K215" s="69" t="s">
        <v>0</v>
      </c>
      <c r="L215" s="37" t="s">
        <v>75</v>
      </c>
      <c r="M215" s="25" t="s">
        <v>69</v>
      </c>
      <c r="N215" s="69" t="s">
        <v>0</v>
      </c>
      <c r="O215" s="37" t="s">
        <v>75</v>
      </c>
      <c r="P215" s="25" t="s">
        <v>119</v>
      </c>
      <c r="U215" s="27" t="s">
        <v>0</v>
      </c>
      <c r="V215" s="11" t="s">
        <v>75</v>
      </c>
      <c r="W215" s="11" t="s">
        <v>69</v>
      </c>
      <c r="X215" s="11" t="s">
        <v>71</v>
      </c>
      <c r="Y215" s="11"/>
      <c r="Z215" s="11"/>
      <c r="AA215" s="28"/>
    </row>
    <row r="216" spans="2:30" s="7" customFormat="1" ht="10" customHeight="1" thickBot="1" x14ac:dyDescent="0.35">
      <c r="B216" s="39"/>
      <c r="E216" s="70" t="s">
        <v>185</v>
      </c>
      <c r="F216" s="26" t="s">
        <v>72</v>
      </c>
      <c r="K216" s="70" t="s">
        <v>71</v>
      </c>
      <c r="L216" s="38"/>
      <c r="M216" s="26"/>
      <c r="N216" s="70" t="s">
        <v>69</v>
      </c>
      <c r="O216" s="38"/>
      <c r="P216" s="26"/>
    </row>
    <row r="217" spans="2:30" s="7" customFormat="1" ht="10" customHeight="1" thickBot="1" x14ac:dyDescent="0.35">
      <c r="B217" s="39"/>
      <c r="D217" s="7" t="s">
        <v>1</v>
      </c>
      <c r="N217" s="29" t="s">
        <v>213</v>
      </c>
      <c r="O217" s="9" t="s">
        <v>71</v>
      </c>
      <c r="P217" s="30"/>
    </row>
    <row r="218" spans="2:30" s="7" customFormat="1" ht="10" customHeight="1" x14ac:dyDescent="0.3">
      <c r="B218" s="39"/>
    </row>
    <row r="219" spans="2:30" s="7" customFormat="1" ht="10" customHeight="1" x14ac:dyDescent="0.3">
      <c r="B219" s="39"/>
    </row>
    <row r="220" spans="2:30" s="7" customFormat="1" ht="10" customHeight="1" thickBot="1" x14ac:dyDescent="0.35">
      <c r="B220" s="39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</row>
    <row r="221" spans="2:30" s="7" customFormat="1" ht="10" customHeight="1" thickBot="1" x14ac:dyDescent="0.35">
      <c r="B221" s="39"/>
    </row>
    <row r="222" spans="2:30" s="7" customFormat="1" ht="10" customHeight="1" thickBot="1" x14ac:dyDescent="0.35">
      <c r="B222" s="39"/>
      <c r="C222" s="7" t="s">
        <v>5</v>
      </c>
      <c r="D222" s="7" t="s">
        <v>104</v>
      </c>
      <c r="E222" s="69" t="s">
        <v>155</v>
      </c>
      <c r="F222" s="25" t="s">
        <v>72</v>
      </c>
      <c r="K222" s="27" t="s">
        <v>5</v>
      </c>
      <c r="L222" s="11" t="s">
        <v>73</v>
      </c>
      <c r="M222" s="11" t="s">
        <v>72</v>
      </c>
      <c r="N222" s="11" t="s">
        <v>81</v>
      </c>
      <c r="O222" s="11" t="s">
        <v>157</v>
      </c>
      <c r="P222" s="28"/>
      <c r="S222" s="27" t="s">
        <v>275</v>
      </c>
      <c r="T222" s="11" t="s">
        <v>72</v>
      </c>
      <c r="U222" s="11" t="s">
        <v>82</v>
      </c>
      <c r="V222" s="11"/>
      <c r="W222" s="11"/>
      <c r="X222" s="11"/>
      <c r="Y222" s="11"/>
      <c r="Z222" s="11"/>
      <c r="AA222" s="28"/>
    </row>
    <row r="223" spans="2:30" s="7" customFormat="1" ht="10" customHeight="1" thickBot="1" x14ac:dyDescent="0.35">
      <c r="B223" s="39"/>
      <c r="E223" s="70" t="s">
        <v>81</v>
      </c>
      <c r="F223" s="26" t="s">
        <v>157</v>
      </c>
    </row>
    <row r="224" spans="2:30" s="7" customFormat="1" ht="10" customHeight="1" thickBot="1" x14ac:dyDescent="0.35">
      <c r="B224" s="39"/>
      <c r="D224" s="7" t="s">
        <v>150</v>
      </c>
      <c r="U224" s="27" t="s">
        <v>191</v>
      </c>
      <c r="V224" s="11" t="s">
        <v>83</v>
      </c>
      <c r="W224" s="11" t="s">
        <v>157</v>
      </c>
      <c r="X224" s="11"/>
      <c r="Y224" s="11"/>
      <c r="Z224" s="11"/>
      <c r="AA224" s="28"/>
    </row>
    <row r="225" spans="2:29" s="7" customFormat="1" ht="10" customHeight="1" x14ac:dyDescent="0.3">
      <c r="B225" s="39"/>
    </row>
    <row r="226" spans="2:29" s="7" customFormat="1" ht="10" customHeight="1" x14ac:dyDescent="0.3">
      <c r="B226" s="39"/>
    </row>
    <row r="227" spans="2:29" s="7" customFormat="1" ht="10" customHeight="1" thickBot="1" x14ac:dyDescent="0.35">
      <c r="B227" s="39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</row>
    <row r="228" spans="2:29" s="7" customFormat="1" ht="10" customHeight="1" thickBot="1" x14ac:dyDescent="0.35">
      <c r="B228" s="39"/>
    </row>
    <row r="229" spans="2:29" s="7" customFormat="1" ht="10" customHeight="1" thickBot="1" x14ac:dyDescent="0.35">
      <c r="B229" s="39"/>
      <c r="C229" s="7" t="s">
        <v>7</v>
      </c>
      <c r="D229" s="7" t="s">
        <v>104</v>
      </c>
      <c r="E229" s="69" t="s">
        <v>155</v>
      </c>
      <c r="F229" s="25" t="s">
        <v>80</v>
      </c>
      <c r="K229" s="69" t="s">
        <v>7</v>
      </c>
      <c r="L229" s="37" t="s">
        <v>79</v>
      </c>
      <c r="M229" s="25" t="s">
        <v>77</v>
      </c>
      <c r="N229" s="27" t="s">
        <v>7</v>
      </c>
      <c r="O229" s="11" t="s">
        <v>79</v>
      </c>
      <c r="P229" s="28" t="s">
        <v>70</v>
      </c>
      <c r="U229" s="29" t="s">
        <v>216</v>
      </c>
      <c r="V229" s="9" t="s">
        <v>70</v>
      </c>
      <c r="W229" s="9"/>
      <c r="X229" s="9"/>
      <c r="Y229" s="9"/>
      <c r="Z229" s="9"/>
      <c r="AA229" s="30"/>
    </row>
    <row r="230" spans="2:29" s="7" customFormat="1" ht="10" customHeight="1" thickBot="1" x14ac:dyDescent="0.35">
      <c r="B230" s="39"/>
      <c r="E230" s="70" t="s">
        <v>70</v>
      </c>
      <c r="F230" s="26"/>
      <c r="K230" s="70" t="s">
        <v>70</v>
      </c>
      <c r="L230" s="38" t="s">
        <v>80</v>
      </c>
      <c r="M230" s="26"/>
    </row>
    <row r="231" spans="2:29" s="7" customFormat="1" ht="10" customHeight="1" thickBot="1" x14ac:dyDescent="0.35">
      <c r="B231" s="39"/>
      <c r="D231" s="7" t="s">
        <v>9</v>
      </c>
      <c r="E231" s="29" t="s">
        <v>214</v>
      </c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30"/>
    </row>
    <row r="232" spans="2:29" s="7" customFormat="1" ht="10" customHeight="1" thickBot="1" x14ac:dyDescent="0.35">
      <c r="B232" s="39"/>
      <c r="D232" s="7" t="s">
        <v>6</v>
      </c>
      <c r="N232" s="27" t="s">
        <v>192</v>
      </c>
      <c r="O232" s="11" t="s">
        <v>82</v>
      </c>
      <c r="P232" s="28"/>
    </row>
    <row r="233" spans="2:29" s="7" customFormat="1" ht="10" customHeight="1" thickBot="1" x14ac:dyDescent="0.35">
      <c r="B233" s="39"/>
      <c r="D233" s="7" t="s">
        <v>8</v>
      </c>
      <c r="U233" s="27" t="s">
        <v>8</v>
      </c>
      <c r="V233" s="11" t="s">
        <v>73</v>
      </c>
      <c r="W233" s="11"/>
      <c r="X233" s="11"/>
      <c r="Y233" s="11"/>
      <c r="Z233" s="11"/>
      <c r="AA233" s="28"/>
    </row>
    <row r="234" spans="2:29" s="7" customFormat="1" ht="10" customHeight="1" thickBot="1" x14ac:dyDescent="0.35">
      <c r="B234" s="39"/>
      <c r="D234" s="7" t="s">
        <v>153</v>
      </c>
      <c r="S234" s="29" t="s">
        <v>198</v>
      </c>
      <c r="T234" s="9" t="s">
        <v>81</v>
      </c>
      <c r="U234" s="9"/>
      <c r="V234" s="9"/>
      <c r="W234" s="9"/>
      <c r="X234" s="9"/>
      <c r="Y234" s="9"/>
      <c r="Z234" s="9"/>
      <c r="AA234" s="30"/>
    </row>
    <row r="235" spans="2:29" s="7" customFormat="1" ht="10" customHeight="1" thickBot="1" x14ac:dyDescent="0.35">
      <c r="B235" s="39"/>
      <c r="D235" s="7" t="s">
        <v>9</v>
      </c>
      <c r="S235" s="29" t="s">
        <v>198</v>
      </c>
      <c r="T235" s="9" t="s">
        <v>80</v>
      </c>
      <c r="U235" s="9"/>
      <c r="V235" s="9"/>
      <c r="W235" s="9"/>
      <c r="X235" s="9"/>
      <c r="Y235" s="9"/>
      <c r="Z235" s="9"/>
      <c r="AA235" s="30"/>
    </row>
    <row r="236" spans="2:29" s="7" customFormat="1" ht="10" customHeight="1" x14ac:dyDescent="0.3">
      <c r="B236" s="39"/>
    </row>
    <row r="237" spans="2:29" s="7" customFormat="1" ht="10" customHeight="1" thickBot="1" x14ac:dyDescent="0.35">
      <c r="B237" s="39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</row>
    <row r="238" spans="2:29" s="7" customFormat="1" ht="10" customHeight="1" x14ac:dyDescent="0.3">
      <c r="B238" s="39"/>
    </row>
    <row r="239" spans="2:29" s="7" customFormat="1" ht="10" customHeight="1" x14ac:dyDescent="0.3">
      <c r="B239" s="39"/>
      <c r="C239" s="7" t="s">
        <v>12</v>
      </c>
    </row>
    <row r="240" spans="2:29" s="7" customFormat="1" ht="10" customHeight="1" thickBot="1" x14ac:dyDescent="0.35">
      <c r="B240" s="39"/>
      <c r="D240" s="7" t="s">
        <v>191</v>
      </c>
    </row>
    <row r="241" spans="2:29" s="7" customFormat="1" ht="10" customHeight="1" thickBot="1" x14ac:dyDescent="0.35">
      <c r="B241" s="39"/>
      <c r="D241" s="7" t="s">
        <v>303</v>
      </c>
      <c r="G241" s="27" t="s">
        <v>13</v>
      </c>
      <c r="H241" s="11" t="s">
        <v>83</v>
      </c>
      <c r="I241" s="11" t="s">
        <v>100</v>
      </c>
      <c r="J241" s="11"/>
      <c r="K241" s="11"/>
      <c r="L241" s="11"/>
      <c r="M241" s="11"/>
      <c r="N241" s="11"/>
      <c r="O241" s="11"/>
      <c r="P241" s="28"/>
      <c r="Q241" s="27" t="s">
        <v>112</v>
      </c>
      <c r="R241" s="11" t="s">
        <v>100</v>
      </c>
      <c r="S241" s="11" t="s">
        <v>99</v>
      </c>
      <c r="T241" s="28"/>
      <c r="U241" s="29" t="s">
        <v>216</v>
      </c>
      <c r="V241" s="9" t="s">
        <v>100</v>
      </c>
      <c r="W241" s="9" t="s">
        <v>99</v>
      </c>
      <c r="X241" s="9"/>
      <c r="Y241" s="9"/>
      <c r="Z241" s="9"/>
      <c r="AA241" s="30"/>
    </row>
    <row r="242" spans="2:29" s="7" customFormat="1" ht="10" customHeight="1" thickBot="1" x14ac:dyDescent="0.35">
      <c r="B242" s="39"/>
      <c r="D242" s="7" t="s">
        <v>16</v>
      </c>
      <c r="E242" s="29" t="s">
        <v>16</v>
      </c>
      <c r="F242" s="9" t="s">
        <v>116</v>
      </c>
      <c r="G242" s="9" t="s">
        <v>185</v>
      </c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30"/>
    </row>
    <row r="243" spans="2:29" s="7" customFormat="1" ht="10" customHeight="1" thickBot="1" x14ac:dyDescent="0.35">
      <c r="B243" s="39"/>
      <c r="D243" s="7" t="s">
        <v>149</v>
      </c>
      <c r="U243" s="29" t="s">
        <v>167</v>
      </c>
      <c r="V243" s="9" t="s">
        <v>74</v>
      </c>
      <c r="W243" s="9"/>
      <c r="X243" s="9"/>
      <c r="Y243" s="9"/>
      <c r="Z243" s="9"/>
      <c r="AA243" s="30"/>
    </row>
    <row r="244" spans="2:29" s="7" customFormat="1" ht="10" customHeight="1" x14ac:dyDescent="0.3">
      <c r="B244" s="39"/>
      <c r="D244" s="7" t="s">
        <v>105</v>
      </c>
    </row>
    <row r="245" spans="2:29" s="7" customFormat="1" ht="10" customHeight="1" x14ac:dyDescent="0.3">
      <c r="B245" s="39"/>
      <c r="D245" s="7" t="s">
        <v>15</v>
      </c>
    </row>
    <row r="246" spans="2:29" s="7" customFormat="1" ht="10" customHeight="1" thickBot="1" x14ac:dyDescent="0.35">
      <c r="B246" s="39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</row>
    <row r="247" spans="2:29" s="7" customFormat="1" ht="10" customHeight="1" x14ac:dyDescent="0.3">
      <c r="B247" s="39"/>
    </row>
    <row r="248" spans="2:29" s="7" customFormat="1" ht="10" customHeight="1" x14ac:dyDescent="0.3">
      <c r="B248" s="39"/>
      <c r="C248" s="7" t="s">
        <v>14</v>
      </c>
    </row>
    <row r="249" spans="2:29" s="7" customFormat="1" ht="10" customHeight="1" thickBot="1" x14ac:dyDescent="0.35">
      <c r="B249" s="39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</row>
    <row r="250" spans="2:29" s="7" customFormat="1" ht="10" customHeight="1" thickBot="1" x14ac:dyDescent="0.35">
      <c r="B250" s="39"/>
    </row>
    <row r="251" spans="2:29" s="7" customFormat="1" ht="10" customHeight="1" x14ac:dyDescent="0.3">
      <c r="B251" s="39"/>
      <c r="C251" s="7" t="s">
        <v>95</v>
      </c>
      <c r="G251" s="69" t="s">
        <v>106</v>
      </c>
      <c r="H251" s="25">
        <v>7</v>
      </c>
      <c r="I251" s="69" t="s">
        <v>78</v>
      </c>
      <c r="J251" s="25">
        <v>13</v>
      </c>
      <c r="Q251" s="69" t="s">
        <v>112</v>
      </c>
      <c r="R251" s="25">
        <v>14</v>
      </c>
      <c r="S251" s="69" t="s">
        <v>165</v>
      </c>
      <c r="T251" s="25">
        <v>9</v>
      </c>
    </row>
    <row r="252" spans="2:29" s="7" customFormat="1" ht="10" customHeight="1" x14ac:dyDescent="0.3">
      <c r="B252" s="39"/>
      <c r="G252" s="71" t="s">
        <v>31</v>
      </c>
      <c r="H252" s="31" t="s">
        <v>75</v>
      </c>
      <c r="I252" s="71" t="s">
        <v>38</v>
      </c>
      <c r="J252" s="31" t="s">
        <v>75</v>
      </c>
      <c r="Q252" s="71" t="s">
        <v>38</v>
      </c>
      <c r="R252" s="31" t="s">
        <v>75</v>
      </c>
      <c r="S252" s="71" t="s">
        <v>39</v>
      </c>
      <c r="T252" s="31" t="s">
        <v>73</v>
      </c>
    </row>
    <row r="253" spans="2:29" s="7" customFormat="1" ht="10" customHeight="1" thickBot="1" x14ac:dyDescent="0.35">
      <c r="B253" s="39"/>
      <c r="G253" s="71" t="s">
        <v>71</v>
      </c>
      <c r="H253" s="31" t="s">
        <v>69</v>
      </c>
      <c r="I253" s="70" t="s">
        <v>79</v>
      </c>
      <c r="J253" s="26"/>
      <c r="Q253" s="71" t="s">
        <v>79</v>
      </c>
      <c r="R253" s="31" t="s">
        <v>72</v>
      </c>
      <c r="S253" s="71" t="s">
        <v>83</v>
      </c>
      <c r="T253" s="31" t="s">
        <v>77</v>
      </c>
    </row>
    <row r="254" spans="2:29" s="7" customFormat="1" ht="10" customHeight="1" thickBot="1" x14ac:dyDescent="0.35">
      <c r="B254" s="39"/>
      <c r="G254" s="70" t="s">
        <v>99</v>
      </c>
      <c r="H254" s="26" t="s">
        <v>157</v>
      </c>
      <c r="Q254" s="70" t="s">
        <v>69</v>
      </c>
      <c r="R254" s="26" t="s">
        <v>82</v>
      </c>
      <c r="S254" s="70" t="s">
        <v>157</v>
      </c>
      <c r="T254" s="26" t="s">
        <v>71</v>
      </c>
    </row>
    <row r="255" spans="2:29" s="7" customFormat="1" ht="10" customHeight="1" x14ac:dyDescent="0.3">
      <c r="B255" s="39"/>
      <c r="G255" s="69" t="s">
        <v>107</v>
      </c>
      <c r="H255" s="25">
        <v>6</v>
      </c>
    </row>
    <row r="256" spans="2:29" s="7" customFormat="1" ht="10" customHeight="1" x14ac:dyDescent="0.3">
      <c r="B256" s="39"/>
      <c r="G256" s="71" t="s">
        <v>33</v>
      </c>
      <c r="H256" s="31" t="s">
        <v>79</v>
      </c>
    </row>
    <row r="257" spans="2:29" s="7" customFormat="1" ht="10" customHeight="1" x14ac:dyDescent="0.3">
      <c r="B257" s="39"/>
      <c r="G257" s="71" t="s">
        <v>72</v>
      </c>
      <c r="H257" s="31" t="s">
        <v>81</v>
      </c>
    </row>
    <row r="258" spans="2:29" s="7" customFormat="1" ht="10" customHeight="1" thickBot="1" x14ac:dyDescent="0.35">
      <c r="B258" s="39"/>
      <c r="G258" s="70" t="s">
        <v>80</v>
      </c>
      <c r="H258" s="26"/>
    </row>
    <row r="259" spans="2:29" s="7" customFormat="1" ht="10" customHeight="1" thickBot="1" x14ac:dyDescent="0.35">
      <c r="B259" s="39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</row>
    <row r="260" spans="2:29" s="7" customFormat="1" ht="10" customHeight="1" x14ac:dyDescent="0.3"/>
    <row r="261" spans="2:29" x14ac:dyDescent="0.35">
      <c r="B261">
        <v>0</v>
      </c>
      <c r="D261" t="s">
        <v>169</v>
      </c>
      <c r="E261">
        <v>1</v>
      </c>
    </row>
    <row r="262" spans="2:29" x14ac:dyDescent="0.35">
      <c r="B262">
        <v>1</v>
      </c>
      <c r="D262" t="s">
        <v>217</v>
      </c>
      <c r="E262">
        <v>9</v>
      </c>
    </row>
    <row r="263" spans="2:29" x14ac:dyDescent="0.35">
      <c r="B263">
        <v>2</v>
      </c>
      <c r="D263" t="s">
        <v>203</v>
      </c>
      <c r="E263">
        <v>16</v>
      </c>
    </row>
    <row r="264" spans="2:29" x14ac:dyDescent="0.35">
      <c r="B264">
        <v>3</v>
      </c>
      <c r="D264" t="s">
        <v>218</v>
      </c>
      <c r="E264">
        <v>20</v>
      </c>
    </row>
    <row r="265" spans="2:29" x14ac:dyDescent="0.35">
      <c r="B265">
        <v>4</v>
      </c>
      <c r="D265" t="s">
        <v>219</v>
      </c>
      <c r="E265">
        <v>13</v>
      </c>
    </row>
    <row r="266" spans="2:29" x14ac:dyDescent="0.35">
      <c r="B266">
        <v>5</v>
      </c>
      <c r="D266" t="s">
        <v>187</v>
      </c>
      <c r="E266">
        <v>2</v>
      </c>
    </row>
    <row r="267" spans="2:29" x14ac:dyDescent="0.35">
      <c r="B267">
        <v>6</v>
      </c>
      <c r="D267" t="s">
        <v>220</v>
      </c>
      <c r="E267">
        <v>10</v>
      </c>
    </row>
    <row r="268" spans="2:29" x14ac:dyDescent="0.35">
      <c r="B268">
        <v>7</v>
      </c>
      <c r="D268" t="s">
        <v>221</v>
      </c>
      <c r="E268">
        <v>17</v>
      </c>
    </row>
    <row r="269" spans="2:29" x14ac:dyDescent="0.35">
      <c r="B269">
        <v>8</v>
      </c>
      <c r="D269" t="s">
        <v>264</v>
      </c>
      <c r="E269">
        <v>26</v>
      </c>
    </row>
    <row r="270" spans="2:29" x14ac:dyDescent="0.35">
      <c r="B270">
        <v>9</v>
      </c>
      <c r="D270" t="s">
        <v>188</v>
      </c>
      <c r="E270">
        <v>3</v>
      </c>
    </row>
    <row r="271" spans="2:29" x14ac:dyDescent="0.35">
      <c r="B271">
        <v>10</v>
      </c>
      <c r="D271" t="s">
        <v>265</v>
      </c>
      <c r="E271">
        <v>11</v>
      </c>
    </row>
    <row r="272" spans="2:29" x14ac:dyDescent="0.35">
      <c r="B272">
        <v>11</v>
      </c>
      <c r="D272" t="s">
        <v>222</v>
      </c>
      <c r="E272">
        <v>18</v>
      </c>
    </row>
    <row r="273" spans="2:5" x14ac:dyDescent="0.35">
      <c r="B273">
        <v>12</v>
      </c>
      <c r="D273" t="s">
        <v>278</v>
      </c>
      <c r="E273">
        <v>25</v>
      </c>
    </row>
    <row r="274" spans="2:5" x14ac:dyDescent="0.35">
      <c r="B274">
        <v>13</v>
      </c>
      <c r="D274" t="s">
        <v>223</v>
      </c>
      <c r="E274">
        <v>14</v>
      </c>
    </row>
    <row r="275" spans="2:5" x14ac:dyDescent="0.35">
      <c r="B275">
        <v>14</v>
      </c>
      <c r="D275" t="s">
        <v>266</v>
      </c>
      <c r="E275">
        <v>27</v>
      </c>
    </row>
    <row r="276" spans="2:5" x14ac:dyDescent="0.35">
      <c r="B276">
        <v>15</v>
      </c>
      <c r="D276" t="s">
        <v>224</v>
      </c>
      <c r="E276">
        <v>19</v>
      </c>
    </row>
    <row r="277" spans="2:5" x14ac:dyDescent="0.35">
      <c r="B277">
        <v>16</v>
      </c>
      <c r="D277" t="s">
        <v>225</v>
      </c>
      <c r="E277">
        <v>24</v>
      </c>
    </row>
    <row r="278" spans="2:5" x14ac:dyDescent="0.35">
      <c r="B278">
        <v>17</v>
      </c>
      <c r="D278" t="s">
        <v>226</v>
      </c>
      <c r="E278">
        <v>22</v>
      </c>
    </row>
    <row r="279" spans="2:5" x14ac:dyDescent="0.35">
      <c r="B279">
        <v>18</v>
      </c>
      <c r="D279" t="s">
        <v>227</v>
      </c>
      <c r="E279">
        <v>12</v>
      </c>
    </row>
    <row r="280" spans="2:5" x14ac:dyDescent="0.35">
      <c r="B280">
        <v>19</v>
      </c>
      <c r="D280" t="s">
        <v>228</v>
      </c>
      <c r="E280">
        <v>21</v>
      </c>
    </row>
    <row r="281" spans="2:5" x14ac:dyDescent="0.35">
      <c r="B281">
        <v>20</v>
      </c>
      <c r="D281" t="s">
        <v>276</v>
      </c>
      <c r="E281">
        <v>28</v>
      </c>
    </row>
    <row r="282" spans="2:5" x14ac:dyDescent="0.35">
      <c r="B282">
        <v>21</v>
      </c>
      <c r="D282" t="s">
        <v>204</v>
      </c>
      <c r="E282">
        <v>15</v>
      </c>
    </row>
    <row r="283" spans="2:5" x14ac:dyDescent="0.35">
      <c r="B283">
        <v>22</v>
      </c>
      <c r="D283" t="s">
        <v>229</v>
      </c>
      <c r="E283">
        <v>23</v>
      </c>
    </row>
    <row r="284" spans="2:5" x14ac:dyDescent="0.35">
      <c r="B284">
        <v>23</v>
      </c>
      <c r="D284" t="s">
        <v>193</v>
      </c>
      <c r="E284">
        <v>4</v>
      </c>
    </row>
    <row r="285" spans="2:5" x14ac:dyDescent="0.35">
      <c r="B285">
        <v>24</v>
      </c>
      <c r="D285" t="s">
        <v>194</v>
      </c>
      <c r="E285">
        <v>6</v>
      </c>
    </row>
    <row r="286" spans="2:5" x14ac:dyDescent="0.35">
      <c r="B286">
        <v>25</v>
      </c>
      <c r="D286" t="s">
        <v>195</v>
      </c>
      <c r="E286">
        <v>7</v>
      </c>
    </row>
    <row r="287" spans="2:5" x14ac:dyDescent="0.35">
      <c r="B287">
        <v>26</v>
      </c>
      <c r="D287" t="s">
        <v>196</v>
      </c>
      <c r="E287">
        <v>8</v>
      </c>
    </row>
    <row r="288" spans="2:5" x14ac:dyDescent="0.35">
      <c r="D288" t="s">
        <v>197</v>
      </c>
      <c r="E288">
        <v>5</v>
      </c>
    </row>
    <row r="408" spans="1:9" x14ac:dyDescent="0.35">
      <c r="A408" t="s">
        <v>277</v>
      </c>
      <c r="B408" s="1" t="s">
        <v>137</v>
      </c>
      <c r="C408" s="1" t="s">
        <v>115</v>
      </c>
      <c r="D408" s="1"/>
      <c r="E408" s="1" t="s">
        <v>138</v>
      </c>
    </row>
    <row r="409" spans="1:9" x14ac:dyDescent="0.35">
      <c r="A409" s="51"/>
      <c r="B409" s="3">
        <v>1</v>
      </c>
      <c r="C409" s="5" t="s">
        <v>116</v>
      </c>
      <c r="D409" s="3">
        <v>15</v>
      </c>
      <c r="E409" s="3"/>
      <c r="F409" s="3"/>
      <c r="G409" s="3"/>
      <c r="H409" s="3"/>
      <c r="I409" s="3"/>
    </row>
    <row r="410" spans="1:9" x14ac:dyDescent="0.35">
      <c r="A410" s="51"/>
      <c r="B410" s="3">
        <v>6</v>
      </c>
      <c r="C410" s="5" t="s">
        <v>75</v>
      </c>
      <c r="D410" s="3">
        <v>4</v>
      </c>
      <c r="E410" s="3">
        <v>6</v>
      </c>
      <c r="F410" s="3">
        <v>7</v>
      </c>
      <c r="G410" s="3">
        <v>9</v>
      </c>
      <c r="H410" s="3">
        <v>16</v>
      </c>
      <c r="I410" s="3">
        <v>20</v>
      </c>
    </row>
    <row r="411" spans="1:9" x14ac:dyDescent="0.35">
      <c r="A411" s="51"/>
      <c r="B411" s="3"/>
      <c r="C411" s="5" t="s">
        <v>117</v>
      </c>
      <c r="D411" s="3"/>
      <c r="E411" s="3"/>
      <c r="F411" s="3"/>
      <c r="G411" s="3"/>
      <c r="H411" s="3"/>
      <c r="I411" s="3"/>
    </row>
    <row r="412" spans="1:9" x14ac:dyDescent="0.35">
      <c r="A412" s="51"/>
      <c r="B412" s="3"/>
      <c r="C412" s="5" t="s">
        <v>118</v>
      </c>
      <c r="D412" s="3"/>
      <c r="E412" s="3"/>
      <c r="F412" s="3"/>
      <c r="G412" s="3"/>
      <c r="H412" s="3"/>
      <c r="I412" s="3"/>
    </row>
    <row r="413" spans="1:9" x14ac:dyDescent="0.35">
      <c r="A413" s="51"/>
      <c r="B413" s="3">
        <v>3</v>
      </c>
      <c r="C413" s="5" t="s">
        <v>83</v>
      </c>
      <c r="D413" s="3">
        <v>8</v>
      </c>
      <c r="E413" s="3">
        <v>12</v>
      </c>
      <c r="F413" s="3">
        <v>26</v>
      </c>
      <c r="G413" s="3"/>
      <c r="H413" s="3"/>
      <c r="I413" s="3"/>
    </row>
    <row r="414" spans="1:9" x14ac:dyDescent="0.35">
      <c r="A414" s="51"/>
      <c r="B414" s="3">
        <v>5</v>
      </c>
      <c r="C414" s="5" t="s">
        <v>79</v>
      </c>
      <c r="D414" s="3">
        <v>5</v>
      </c>
      <c r="E414" s="3">
        <v>6</v>
      </c>
      <c r="F414" s="3">
        <v>7</v>
      </c>
      <c r="G414" s="3">
        <v>11</v>
      </c>
      <c r="H414" s="3">
        <v>25</v>
      </c>
      <c r="I414" s="3"/>
    </row>
    <row r="415" spans="1:9" x14ac:dyDescent="0.35">
      <c r="A415" s="51"/>
      <c r="B415" s="3">
        <v>3</v>
      </c>
      <c r="C415" s="5" t="s">
        <v>73</v>
      </c>
      <c r="D415" s="3">
        <v>8</v>
      </c>
      <c r="E415" s="3">
        <v>10</v>
      </c>
      <c r="F415" s="3">
        <v>19</v>
      </c>
      <c r="G415" s="3"/>
      <c r="H415" s="3"/>
      <c r="I415" s="3"/>
    </row>
    <row r="416" spans="1:9" x14ac:dyDescent="0.35">
      <c r="A416" s="51"/>
      <c r="B416" s="3"/>
      <c r="C416" s="5"/>
      <c r="D416" s="3"/>
      <c r="E416" s="3"/>
      <c r="F416" s="3"/>
      <c r="G416" s="3"/>
      <c r="H416" s="3"/>
      <c r="I416" s="3"/>
    </row>
    <row r="417" spans="2:9" x14ac:dyDescent="0.35">
      <c r="B417" s="3">
        <v>2</v>
      </c>
      <c r="C417" s="5" t="s">
        <v>77</v>
      </c>
      <c r="D417" s="3">
        <v>8</v>
      </c>
      <c r="E417" s="3">
        <v>11</v>
      </c>
      <c r="F417" s="3"/>
      <c r="G417" s="3"/>
      <c r="H417" s="3"/>
      <c r="I417" s="3"/>
    </row>
    <row r="418" spans="2:9" x14ac:dyDescent="0.35">
      <c r="B418" s="3"/>
      <c r="C418" s="5" t="s">
        <v>120</v>
      </c>
      <c r="D418" s="3"/>
      <c r="E418" s="3"/>
      <c r="F418" s="3"/>
      <c r="G418" s="3"/>
      <c r="H418" s="3"/>
      <c r="I418" s="3"/>
    </row>
    <row r="419" spans="2:9" x14ac:dyDescent="0.35">
      <c r="B419" s="3">
        <v>1</v>
      </c>
      <c r="C419" s="5" t="s">
        <v>74</v>
      </c>
      <c r="D419" s="3">
        <v>23</v>
      </c>
      <c r="E419" s="3"/>
      <c r="F419" s="3"/>
      <c r="G419" s="3"/>
      <c r="H419" s="3"/>
      <c r="I419" s="3"/>
    </row>
    <row r="420" spans="2:9" x14ac:dyDescent="0.35">
      <c r="B420" s="3">
        <v>0</v>
      </c>
      <c r="C420" s="5" t="s">
        <v>76</v>
      </c>
      <c r="D420" s="3"/>
      <c r="E420" s="3"/>
      <c r="F420" s="3"/>
      <c r="G420" s="3"/>
      <c r="H420" s="3"/>
      <c r="I420" s="3"/>
    </row>
    <row r="421" spans="2:9" x14ac:dyDescent="0.35">
      <c r="B421" s="3">
        <v>1</v>
      </c>
      <c r="C421" s="5" t="s">
        <v>119</v>
      </c>
      <c r="D421" s="3">
        <v>20</v>
      </c>
      <c r="E421" s="3"/>
      <c r="F421" s="3"/>
      <c r="G421" s="3"/>
      <c r="H421" s="3"/>
      <c r="I421" s="3"/>
    </row>
    <row r="422" spans="2:9" x14ac:dyDescent="0.35">
      <c r="B422" s="3"/>
      <c r="C422" s="5"/>
      <c r="D422" s="3"/>
      <c r="E422" s="3"/>
      <c r="F422" s="3"/>
      <c r="G422" s="3"/>
      <c r="H422" s="3"/>
      <c r="I422" s="3"/>
    </row>
    <row r="423" spans="2:9" x14ac:dyDescent="0.35">
      <c r="B423" s="3">
        <v>6</v>
      </c>
      <c r="C423" s="5" t="s">
        <v>69</v>
      </c>
      <c r="D423" s="3">
        <v>1</v>
      </c>
      <c r="E423" s="3">
        <v>4</v>
      </c>
      <c r="F423" s="3">
        <v>7</v>
      </c>
      <c r="G423" s="3">
        <v>9</v>
      </c>
      <c r="H423" s="3">
        <v>16</v>
      </c>
      <c r="I423" s="3">
        <v>20</v>
      </c>
    </row>
    <row r="424" spans="2:9" x14ac:dyDescent="0.35">
      <c r="B424" s="3">
        <v>2</v>
      </c>
      <c r="C424" s="5" t="s">
        <v>185</v>
      </c>
      <c r="D424" s="3">
        <v>1</v>
      </c>
      <c r="E424" s="3">
        <v>15</v>
      </c>
      <c r="F424" s="3"/>
      <c r="G424" s="3"/>
      <c r="H424" s="3"/>
      <c r="I424" s="3"/>
    </row>
    <row r="425" spans="2:9" x14ac:dyDescent="0.35">
      <c r="B425" s="3">
        <v>6</v>
      </c>
      <c r="C425" s="5" t="s">
        <v>72</v>
      </c>
      <c r="D425" s="3">
        <v>1</v>
      </c>
      <c r="E425" s="3">
        <v>2</v>
      </c>
      <c r="F425" s="3">
        <v>5</v>
      </c>
      <c r="G425" s="3">
        <v>7</v>
      </c>
      <c r="H425" s="3">
        <v>10</v>
      </c>
      <c r="I425" s="3">
        <v>17</v>
      </c>
    </row>
    <row r="426" spans="2:9" x14ac:dyDescent="0.35">
      <c r="B426" s="3">
        <v>5</v>
      </c>
      <c r="C426" s="5" t="s">
        <v>71</v>
      </c>
      <c r="D426" s="3">
        <v>4</v>
      </c>
      <c r="E426" s="3">
        <v>8</v>
      </c>
      <c r="F426" s="3">
        <v>9</v>
      </c>
      <c r="G426" s="3">
        <v>13</v>
      </c>
      <c r="H426" s="3">
        <v>16</v>
      </c>
      <c r="I426" s="3"/>
    </row>
    <row r="427" spans="2:9" x14ac:dyDescent="0.35">
      <c r="B427" s="3">
        <v>4</v>
      </c>
      <c r="C427" s="5" t="s">
        <v>70</v>
      </c>
      <c r="D427" s="3">
        <v>3</v>
      </c>
      <c r="E427" s="3">
        <v>11</v>
      </c>
      <c r="F427" s="3">
        <v>18</v>
      </c>
      <c r="G427" s="3">
        <v>25</v>
      </c>
      <c r="H427" s="3"/>
      <c r="I427" s="3"/>
    </row>
    <row r="428" spans="2:9" x14ac:dyDescent="0.35">
      <c r="B428" s="3">
        <v>3</v>
      </c>
      <c r="C428" s="5" t="s">
        <v>82</v>
      </c>
      <c r="D428" s="3">
        <v>7</v>
      </c>
      <c r="E428" s="3">
        <v>17</v>
      </c>
      <c r="F428" s="3">
        <v>27</v>
      </c>
      <c r="G428" s="3"/>
      <c r="H428" s="3"/>
      <c r="I428" s="3"/>
    </row>
    <row r="429" spans="2:9" x14ac:dyDescent="0.35">
      <c r="B429" s="3">
        <v>4</v>
      </c>
      <c r="C429" s="5" t="s">
        <v>80</v>
      </c>
      <c r="D429" s="3">
        <v>3</v>
      </c>
      <c r="E429" s="3">
        <v>5</v>
      </c>
      <c r="F429" s="3">
        <v>11</v>
      </c>
      <c r="G429" s="3">
        <v>22</v>
      </c>
      <c r="H429" s="3"/>
      <c r="I429" s="3"/>
    </row>
    <row r="430" spans="2:9" x14ac:dyDescent="0.35">
      <c r="B430" s="3">
        <v>4</v>
      </c>
      <c r="C430" s="5" t="s">
        <v>81</v>
      </c>
      <c r="D430" s="3">
        <v>2</v>
      </c>
      <c r="E430" s="3">
        <v>5</v>
      </c>
      <c r="F430" s="3">
        <v>10</v>
      </c>
      <c r="G430" s="3">
        <v>24</v>
      </c>
      <c r="H430" s="3"/>
      <c r="I430" s="3"/>
    </row>
    <row r="431" spans="2:9" x14ac:dyDescent="0.35">
      <c r="B431" s="3"/>
      <c r="C431" s="5"/>
      <c r="D431" s="3"/>
      <c r="E431" s="3"/>
      <c r="F431" s="3"/>
      <c r="G431" s="3"/>
      <c r="H431" s="3"/>
      <c r="I431" s="3"/>
    </row>
    <row r="432" spans="2:9" x14ac:dyDescent="0.35">
      <c r="B432" s="3">
        <v>3</v>
      </c>
      <c r="C432" s="5" t="s">
        <v>100</v>
      </c>
      <c r="D432" s="3">
        <v>12</v>
      </c>
      <c r="E432" s="3">
        <v>21</v>
      </c>
      <c r="F432" s="3">
        <v>28</v>
      </c>
      <c r="G432" s="3"/>
      <c r="H432" s="3"/>
      <c r="I432" s="3"/>
    </row>
    <row r="433" spans="2:9" x14ac:dyDescent="0.35">
      <c r="B433" s="3">
        <v>3</v>
      </c>
      <c r="C433" s="5" t="s">
        <v>99</v>
      </c>
      <c r="D433" s="3">
        <v>4</v>
      </c>
      <c r="E433" s="3">
        <v>21</v>
      </c>
      <c r="F433" s="3">
        <v>28</v>
      </c>
      <c r="G433" s="3"/>
      <c r="H433" s="3"/>
      <c r="I433" s="3"/>
    </row>
    <row r="434" spans="2:9" x14ac:dyDescent="0.35">
      <c r="B434" s="3">
        <v>0</v>
      </c>
      <c r="C434" s="5" t="s">
        <v>125</v>
      </c>
      <c r="D434" s="3"/>
      <c r="E434" s="3"/>
      <c r="F434" s="3"/>
      <c r="G434" s="3"/>
      <c r="H434" s="3"/>
      <c r="I434" s="3"/>
    </row>
    <row r="435" spans="2:9" x14ac:dyDescent="0.35">
      <c r="B435">
        <v>5</v>
      </c>
      <c r="C435" t="s">
        <v>157</v>
      </c>
      <c r="D435">
        <v>2</v>
      </c>
      <c r="E435">
        <v>4</v>
      </c>
      <c r="F435">
        <v>8</v>
      </c>
      <c r="G435">
        <v>10</v>
      </c>
      <c r="H435">
        <v>26</v>
      </c>
    </row>
  </sheetData>
  <mergeCells count="10">
    <mergeCell ref="U214:V214"/>
    <mergeCell ref="W214:X214"/>
    <mergeCell ref="Y214:Z214"/>
    <mergeCell ref="S214:T214"/>
    <mergeCell ref="E214:F214"/>
    <mergeCell ref="G214:H214"/>
    <mergeCell ref="I214:J214"/>
    <mergeCell ref="Q214:R214"/>
    <mergeCell ref="K214:M214"/>
    <mergeCell ref="N214:P214"/>
  </mergeCell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7" r:id="rId4" name="CheckLessonIDsButton">
          <controlPr defaultSize="0" autoLine="0" r:id="rId5">
            <anchor moveWithCells="1">
              <from>
                <xdr:col>2</xdr:col>
                <xdr:colOff>190500</xdr:colOff>
                <xdr:row>610</xdr:row>
                <xdr:rowOff>88900</xdr:rowOff>
              </from>
              <to>
                <xdr:col>6</xdr:col>
                <xdr:colOff>76200</xdr:colOff>
                <xdr:row>612</xdr:row>
                <xdr:rowOff>120650</xdr:rowOff>
              </to>
            </anchor>
          </controlPr>
        </control>
      </mc:Choice>
      <mc:Fallback>
        <control shapeId="1027" r:id="rId4" name="CheckLessonIDsButton"/>
      </mc:Fallback>
    </mc:AlternateContent>
    <mc:AlternateContent xmlns:mc="http://schemas.openxmlformats.org/markup-compatibility/2006">
      <mc:Choice Requires="x14">
        <control shapeId="1032" r:id="rId6" name="PopulateTimeTableButton">
          <controlPr autoLine="0" r:id="rId7">
            <anchor moveWithCells="1">
              <from>
                <xdr:col>12</xdr:col>
                <xdr:colOff>0</xdr:colOff>
                <xdr:row>255</xdr:row>
                <xdr:rowOff>31750</xdr:rowOff>
              </from>
              <to>
                <xdr:col>16</xdr:col>
                <xdr:colOff>203200</xdr:colOff>
                <xdr:row>258</xdr:row>
                <xdr:rowOff>88900</xdr:rowOff>
              </to>
            </anchor>
          </controlPr>
        </control>
      </mc:Choice>
      <mc:Fallback>
        <control shapeId="1032" r:id="rId6" name="PopulateTimeTableButton"/>
      </mc:Fallback>
    </mc:AlternateContent>
    <mc:AlternateContent xmlns:mc="http://schemas.openxmlformats.org/markup-compatibility/2006">
      <mc:Choice Requires="x14">
        <control shapeId="1034" r:id="rId8" name="CommandButton1">
          <controlPr defaultSize="0" autoLine="0" r:id="rId9">
            <anchor moveWithCells="1">
              <from>
                <xdr:col>12</xdr:col>
                <xdr:colOff>6350</xdr:colOff>
                <xdr:row>407</xdr:row>
                <xdr:rowOff>120650</xdr:rowOff>
              </from>
              <to>
                <xdr:col>14</xdr:col>
                <xdr:colOff>285750</xdr:colOff>
                <xdr:row>410</xdr:row>
                <xdr:rowOff>57150</xdr:rowOff>
              </to>
            </anchor>
          </controlPr>
        </control>
      </mc:Choice>
      <mc:Fallback>
        <control shapeId="1034" r:id="rId8" name="CommandButton1"/>
      </mc:Fallback>
    </mc:AlternateContent>
  </controls>
  <tableParts count="6">
    <tablePart r:id="rId10"/>
    <tablePart r:id="rId11"/>
    <tablePart r:id="rId12"/>
    <tablePart r:id="rId13"/>
    <tablePart r:id="rId14"/>
    <tablePart r:id="rId1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166"/>
  <sheetViews>
    <sheetView showGridLines="0" zoomScaleNormal="100" workbookViewId="0">
      <selection activeCell="A24" sqref="A24"/>
    </sheetView>
  </sheetViews>
  <sheetFormatPr defaultColWidth="7.54296875" defaultRowHeight="14.5" outlineLevelRow="1" x14ac:dyDescent="0.35"/>
  <cols>
    <col min="1" max="1" width="10.54296875" customWidth="1"/>
    <col min="2" max="24" width="6.54296875" customWidth="1"/>
    <col min="25" max="25" width="6.81640625" customWidth="1"/>
    <col min="26" max="26" width="13.453125" customWidth="1"/>
    <col min="27" max="27" width="16.36328125" customWidth="1"/>
    <col min="28" max="28" width="6.54296875" customWidth="1"/>
    <col min="29" max="29" width="7.453125" customWidth="1"/>
  </cols>
  <sheetData>
    <row r="1" spans="1:28" ht="10" customHeight="1" x14ac:dyDescent="0.25">
      <c r="A1" s="39"/>
      <c r="B1" s="40">
        <v>1</v>
      </c>
      <c r="C1" s="40">
        <f t="shared" ref="C1:W1" si="0">B1+1</f>
        <v>2</v>
      </c>
      <c r="D1" s="40">
        <f t="shared" si="0"/>
        <v>3</v>
      </c>
      <c r="E1" s="40">
        <f t="shared" si="0"/>
        <v>4</v>
      </c>
      <c r="F1" s="40">
        <f t="shared" si="0"/>
        <v>5</v>
      </c>
      <c r="G1" s="40">
        <f t="shared" si="0"/>
        <v>6</v>
      </c>
      <c r="H1" s="40">
        <f t="shared" si="0"/>
        <v>7</v>
      </c>
      <c r="I1" s="40">
        <f t="shared" si="0"/>
        <v>8</v>
      </c>
      <c r="J1" s="40">
        <f t="shared" si="0"/>
        <v>9</v>
      </c>
      <c r="K1" s="40">
        <f t="shared" si="0"/>
        <v>10</v>
      </c>
      <c r="L1" s="40">
        <f t="shared" si="0"/>
        <v>11</v>
      </c>
      <c r="M1" s="40">
        <f t="shared" si="0"/>
        <v>12</v>
      </c>
      <c r="N1" s="40">
        <f t="shared" si="0"/>
        <v>13</v>
      </c>
      <c r="O1" s="40">
        <f t="shared" si="0"/>
        <v>14</v>
      </c>
      <c r="P1" s="40">
        <f t="shared" si="0"/>
        <v>15</v>
      </c>
      <c r="Q1" s="40">
        <f t="shared" si="0"/>
        <v>16</v>
      </c>
      <c r="R1" s="40">
        <f t="shared" si="0"/>
        <v>17</v>
      </c>
      <c r="S1" s="40">
        <f t="shared" si="0"/>
        <v>18</v>
      </c>
      <c r="T1" s="40">
        <f t="shared" si="0"/>
        <v>19</v>
      </c>
      <c r="U1" s="40">
        <f t="shared" si="0"/>
        <v>20</v>
      </c>
      <c r="V1" s="40">
        <f t="shared" si="0"/>
        <v>21</v>
      </c>
      <c r="W1" s="40">
        <f t="shared" si="0"/>
        <v>22</v>
      </c>
      <c r="X1" s="40">
        <v>23</v>
      </c>
      <c r="Y1" s="40">
        <v>24</v>
      </c>
      <c r="Z1" s="41"/>
      <c r="AA1" s="42"/>
      <c r="AB1" s="43"/>
    </row>
    <row r="2" spans="1:28" ht="10" customHeight="1" thickBot="1" x14ac:dyDescent="0.3">
      <c r="A2" s="39"/>
      <c r="B2" s="44">
        <v>0.375</v>
      </c>
      <c r="C2" s="44">
        <v>0.38541666666666669</v>
      </c>
      <c r="D2" s="44">
        <v>0.39583333333333298</v>
      </c>
      <c r="E2" s="44">
        <v>0.40625</v>
      </c>
      <c r="F2" s="44">
        <v>0.41666666666666702</v>
      </c>
      <c r="G2" s="44">
        <v>0.4236111111111111</v>
      </c>
      <c r="H2" s="44">
        <v>0.43055555555555558</v>
      </c>
      <c r="I2" s="44">
        <v>0.4375</v>
      </c>
      <c r="J2" s="44">
        <v>0.44444444444444442</v>
      </c>
      <c r="K2" s="44">
        <v>0.45833333333333331</v>
      </c>
      <c r="L2" s="44">
        <v>0.47222222222222227</v>
      </c>
      <c r="M2" s="44">
        <v>0.4861111111111111</v>
      </c>
      <c r="N2" s="44">
        <v>0.5</v>
      </c>
      <c r="O2" s="44">
        <v>0.51041666666666663</v>
      </c>
      <c r="P2" s="44">
        <v>0.52083333333333337</v>
      </c>
      <c r="Q2" s="44">
        <v>0.53125</v>
      </c>
      <c r="R2" s="44">
        <v>0.54166666666666663</v>
      </c>
      <c r="S2" s="44">
        <v>0.55555555555555558</v>
      </c>
      <c r="T2" s="44">
        <v>0.56944444444444442</v>
      </c>
      <c r="U2" s="44">
        <v>0.58333333333333337</v>
      </c>
      <c r="V2" s="44">
        <v>0.59722222222222221</v>
      </c>
      <c r="W2" s="44">
        <v>0.61111111111111105</v>
      </c>
      <c r="X2" s="44">
        <v>0.625</v>
      </c>
      <c r="Y2" s="44">
        <v>0.63888888888888895</v>
      </c>
      <c r="Z2" s="45"/>
      <c r="AA2" s="44"/>
      <c r="AB2" s="43"/>
    </row>
    <row r="3" spans="1:28" ht="10" customHeight="1" thickBot="1" x14ac:dyDescent="0.3">
      <c r="A3" s="39" t="s">
        <v>115</v>
      </c>
      <c r="B3" s="66" t="s">
        <v>155</v>
      </c>
      <c r="C3" s="68"/>
      <c r="D3" s="66" t="s">
        <v>200</v>
      </c>
      <c r="E3" s="68"/>
      <c r="F3" s="66" t="s">
        <v>78</v>
      </c>
      <c r="G3" s="68"/>
      <c r="H3" s="64" t="s">
        <v>109</v>
      </c>
      <c r="I3" s="67"/>
      <c r="J3" s="65"/>
      <c r="K3" s="64" t="s">
        <v>110</v>
      </c>
      <c r="L3" s="67"/>
      <c r="M3" s="65"/>
      <c r="N3" s="66" t="s">
        <v>112</v>
      </c>
      <c r="O3" s="68"/>
      <c r="P3" s="66" t="s">
        <v>113</v>
      </c>
      <c r="Q3" s="67"/>
      <c r="R3" s="64" t="s">
        <v>111</v>
      </c>
      <c r="S3" s="65"/>
      <c r="T3" s="64" t="s">
        <v>114</v>
      </c>
      <c r="U3" s="65"/>
      <c r="V3" s="64" t="s">
        <v>201</v>
      </c>
      <c r="W3" s="65"/>
      <c r="X3" s="46" t="s">
        <v>202</v>
      </c>
      <c r="Y3" s="47"/>
      <c r="Z3" s="47"/>
      <c r="AA3" s="43"/>
      <c r="AB3" s="43"/>
    </row>
    <row r="4" spans="1:28" ht="10" customHeight="1" x14ac:dyDescent="0.3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43"/>
      <c r="AB4" s="43"/>
    </row>
    <row r="5" spans="1:28" ht="10" customHeight="1" thickBot="1" x14ac:dyDescent="0.4">
      <c r="A5" s="48" t="s">
        <v>121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13" t="s">
        <v>121</v>
      </c>
      <c r="AA5" s="43"/>
      <c r="AB5" s="43"/>
    </row>
    <row r="6" spans="1:28" ht="10" customHeight="1" outlineLevel="1" thickBot="1" x14ac:dyDescent="0.4">
      <c r="A6" s="39" t="s">
        <v>116</v>
      </c>
      <c r="B6" s="29" t="s">
        <v>16</v>
      </c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30"/>
      <c r="V6" s="57" t="s">
        <v>287</v>
      </c>
      <c r="W6" s="58"/>
      <c r="X6" s="7"/>
      <c r="Y6" s="7">
        <v>5.3299999237060547</v>
      </c>
      <c r="Z6" s="7" t="s">
        <v>116</v>
      </c>
      <c r="AA6" s="49">
        <f>Y6/24</f>
        <v>0.22208333015441895</v>
      </c>
      <c r="AB6" s="50"/>
    </row>
    <row r="7" spans="1:28" ht="10" customHeight="1" outlineLevel="1" thickBot="1" x14ac:dyDescent="0.4">
      <c r="A7" s="39" t="s">
        <v>75</v>
      </c>
      <c r="B7" s="7"/>
      <c r="C7" s="7"/>
      <c r="D7" s="29" t="s">
        <v>97</v>
      </c>
      <c r="E7" s="30"/>
      <c r="F7" s="29" t="s">
        <v>78</v>
      </c>
      <c r="G7" s="30"/>
      <c r="H7" s="29" t="s">
        <v>0</v>
      </c>
      <c r="I7" s="9"/>
      <c r="J7" s="30"/>
      <c r="K7" s="29" t="s">
        <v>0</v>
      </c>
      <c r="L7" s="9"/>
      <c r="M7" s="30"/>
      <c r="N7" s="29" t="s">
        <v>112</v>
      </c>
      <c r="O7" s="30"/>
      <c r="P7" s="57" t="s">
        <v>287</v>
      </c>
      <c r="Q7" s="58"/>
      <c r="R7" s="29" t="s">
        <v>0</v>
      </c>
      <c r="S7" s="9"/>
      <c r="T7" s="9"/>
      <c r="U7" s="9"/>
      <c r="V7" s="9"/>
      <c r="W7" s="9"/>
      <c r="X7" s="30"/>
      <c r="Y7" s="7">
        <v>5.3299999237060547</v>
      </c>
      <c r="Z7" s="7" t="s">
        <v>75</v>
      </c>
      <c r="AA7" s="49">
        <f t="shared" ref="AA7:AA32" si="1">Y7/24</f>
        <v>0.22208333015441895</v>
      </c>
      <c r="AB7" s="50"/>
    </row>
    <row r="8" spans="1:28" ht="10" customHeight="1" outlineLevel="1" thickBot="1" x14ac:dyDescent="0.4">
      <c r="A8" s="39" t="s">
        <v>117</v>
      </c>
      <c r="B8" s="32" t="s">
        <v>139</v>
      </c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33"/>
      <c r="Y8" s="7"/>
      <c r="Z8" s="7" t="s">
        <v>117</v>
      </c>
      <c r="AA8" s="49">
        <f t="shared" si="1"/>
        <v>0</v>
      </c>
      <c r="AB8" s="50"/>
    </row>
    <row r="9" spans="1:28" ht="10" customHeight="1" outlineLevel="1" thickBot="1" x14ac:dyDescent="0.4">
      <c r="A9" s="39" t="s">
        <v>118</v>
      </c>
      <c r="B9" s="32" t="s">
        <v>139</v>
      </c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33"/>
      <c r="Y9" s="7"/>
      <c r="Z9" s="7" t="s">
        <v>118</v>
      </c>
      <c r="AA9" s="49">
        <f t="shared" si="1"/>
        <v>0</v>
      </c>
      <c r="AB9" s="50"/>
    </row>
    <row r="10" spans="1:28" ht="10" customHeight="1" outlineLevel="1" thickBot="1" x14ac:dyDescent="0.4">
      <c r="A10" s="39" t="s">
        <v>83</v>
      </c>
      <c r="B10" s="7"/>
      <c r="C10" s="7"/>
      <c r="D10" s="29" t="s">
        <v>13</v>
      </c>
      <c r="E10" s="9"/>
      <c r="F10" s="9"/>
      <c r="G10" s="9"/>
      <c r="H10" s="9"/>
      <c r="I10" s="9"/>
      <c r="J10" s="9"/>
      <c r="K10" s="9"/>
      <c r="L10" s="9"/>
      <c r="M10" s="30"/>
      <c r="N10" s="57" t="s">
        <v>287</v>
      </c>
      <c r="O10" s="58"/>
      <c r="P10" s="29" t="s">
        <v>165</v>
      </c>
      <c r="Q10" s="30"/>
      <c r="R10" s="29" t="s">
        <v>191</v>
      </c>
      <c r="S10" s="9"/>
      <c r="T10" s="9"/>
      <c r="U10" s="9"/>
      <c r="V10" s="9"/>
      <c r="W10" s="9"/>
      <c r="X10" s="30"/>
      <c r="Y10" s="7">
        <v>5.3299999237060547</v>
      </c>
      <c r="Z10" s="7" t="s">
        <v>83</v>
      </c>
      <c r="AA10" s="49">
        <f t="shared" si="1"/>
        <v>0.22208333015441895</v>
      </c>
      <c r="AB10" s="50"/>
    </row>
    <row r="11" spans="1:28" ht="10" customHeight="1" outlineLevel="1" thickBot="1" x14ac:dyDescent="0.4">
      <c r="A11" s="39" t="s">
        <v>79</v>
      </c>
      <c r="B11" s="7"/>
      <c r="C11" s="7"/>
      <c r="D11" s="29" t="s">
        <v>98</v>
      </c>
      <c r="E11" s="30"/>
      <c r="F11" s="29" t="s">
        <v>78</v>
      </c>
      <c r="G11" s="30"/>
      <c r="H11" s="29" t="s">
        <v>7</v>
      </c>
      <c r="I11" s="9"/>
      <c r="J11" s="30"/>
      <c r="K11" s="29" t="s">
        <v>7</v>
      </c>
      <c r="L11" s="9"/>
      <c r="M11" s="30"/>
      <c r="N11" s="29" t="s">
        <v>112</v>
      </c>
      <c r="O11" s="30"/>
      <c r="P11" s="57" t="s">
        <v>287</v>
      </c>
      <c r="Q11" s="58"/>
      <c r="R11" s="7"/>
      <c r="S11" s="7"/>
      <c r="T11" s="7"/>
      <c r="U11" s="7"/>
      <c r="V11" s="7"/>
      <c r="W11" s="7"/>
      <c r="X11" s="7"/>
      <c r="Y11" s="7">
        <v>3</v>
      </c>
      <c r="Z11" s="7" t="s">
        <v>79</v>
      </c>
      <c r="AA11" s="49">
        <f t="shared" si="1"/>
        <v>0.125</v>
      </c>
      <c r="AB11" s="50"/>
    </row>
    <row r="12" spans="1:28" ht="10" customHeight="1" outlineLevel="1" thickBot="1" x14ac:dyDescent="0.4">
      <c r="A12" s="39" t="s">
        <v>73</v>
      </c>
      <c r="B12" s="7"/>
      <c r="C12" s="7"/>
      <c r="D12" s="7"/>
      <c r="E12" s="7"/>
      <c r="F12" s="7"/>
      <c r="G12" s="7"/>
      <c r="H12" s="29" t="s">
        <v>5</v>
      </c>
      <c r="I12" s="9"/>
      <c r="J12" s="9"/>
      <c r="K12" s="9"/>
      <c r="L12" s="9"/>
      <c r="M12" s="30"/>
      <c r="N12" s="57" t="s">
        <v>287</v>
      </c>
      <c r="O12" s="58"/>
      <c r="P12" s="29" t="s">
        <v>165</v>
      </c>
      <c r="Q12" s="30"/>
      <c r="R12" s="29" t="s">
        <v>8</v>
      </c>
      <c r="S12" s="9"/>
      <c r="T12" s="9"/>
      <c r="U12" s="9"/>
      <c r="V12" s="9"/>
      <c r="W12" s="9"/>
      <c r="X12" s="30"/>
      <c r="Y12" s="7">
        <v>4.5</v>
      </c>
      <c r="Z12" s="7" t="s">
        <v>73</v>
      </c>
      <c r="AA12" s="49">
        <f t="shared" si="1"/>
        <v>0.1875</v>
      </c>
      <c r="AB12" s="50"/>
    </row>
    <row r="13" spans="1:28" ht="10" customHeight="1" thickBot="1" x14ac:dyDescent="0.4">
      <c r="A13" s="48" t="s">
        <v>122</v>
      </c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13" t="s">
        <v>122</v>
      </c>
      <c r="AA13" s="49">
        <f t="shared" si="1"/>
        <v>0</v>
      </c>
      <c r="AB13" s="50"/>
    </row>
    <row r="14" spans="1:28" ht="10" customHeight="1" outlineLevel="1" thickBot="1" x14ac:dyDescent="0.4">
      <c r="A14" s="7" t="s">
        <v>77</v>
      </c>
      <c r="B14" s="7"/>
      <c r="C14" s="7"/>
      <c r="D14" s="7"/>
      <c r="E14" s="7"/>
      <c r="F14" s="7"/>
      <c r="G14" s="7"/>
      <c r="H14" s="29" t="s">
        <v>7</v>
      </c>
      <c r="I14" s="9"/>
      <c r="J14" s="30"/>
      <c r="K14" s="7"/>
      <c r="L14" s="7"/>
      <c r="M14" s="7"/>
      <c r="N14" s="57" t="s">
        <v>287</v>
      </c>
      <c r="O14" s="58"/>
      <c r="P14" s="29" t="s">
        <v>165</v>
      </c>
      <c r="Q14" s="30"/>
      <c r="R14" s="7"/>
      <c r="S14" s="7"/>
      <c r="T14" s="7"/>
      <c r="U14" s="7"/>
      <c r="V14" s="7"/>
      <c r="W14" s="7"/>
      <c r="X14" s="7"/>
      <c r="Y14" s="7">
        <v>1.1700000762939453</v>
      </c>
      <c r="Z14" s="7" t="s">
        <v>77</v>
      </c>
      <c r="AA14" s="49">
        <f t="shared" si="1"/>
        <v>4.875000317891439E-2</v>
      </c>
      <c r="AB14" s="50"/>
    </row>
    <row r="15" spans="1:28" ht="10" customHeight="1" outlineLevel="1" thickBot="1" x14ac:dyDescent="0.4">
      <c r="A15" s="7" t="s">
        <v>120</v>
      </c>
      <c r="B15" s="32" t="s">
        <v>139</v>
      </c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33"/>
      <c r="Y15" s="7"/>
      <c r="Z15" s="7" t="s">
        <v>120</v>
      </c>
      <c r="AA15" s="49">
        <f t="shared" si="1"/>
        <v>0</v>
      </c>
      <c r="AB15" s="50"/>
    </row>
    <row r="16" spans="1:28" ht="10" customHeight="1" outlineLevel="1" thickBot="1" x14ac:dyDescent="0.4">
      <c r="A16" s="7" t="s">
        <v>74</v>
      </c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57" t="s">
        <v>287</v>
      </c>
      <c r="O16" s="58"/>
      <c r="P16" s="7"/>
      <c r="Q16" s="7"/>
      <c r="R16" s="29" t="s">
        <v>167</v>
      </c>
      <c r="S16" s="9"/>
      <c r="T16" s="9"/>
      <c r="U16" s="9"/>
      <c r="V16" s="9"/>
      <c r="W16" s="9"/>
      <c r="X16" s="30"/>
      <c r="Y16" s="7">
        <v>2.3299999237060547</v>
      </c>
      <c r="Z16" s="7" t="s">
        <v>74</v>
      </c>
      <c r="AA16" s="49">
        <f t="shared" si="1"/>
        <v>9.7083330154418945E-2</v>
      </c>
      <c r="AB16" s="50"/>
    </row>
    <row r="17" spans="1:28" ht="10" customHeight="1" outlineLevel="1" thickBot="1" x14ac:dyDescent="0.4">
      <c r="A17" s="7" t="s">
        <v>76</v>
      </c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57" t="s">
        <v>287</v>
      </c>
      <c r="P17" s="58"/>
      <c r="Q17" s="7"/>
      <c r="R17" s="7"/>
      <c r="S17" s="7"/>
      <c r="T17" s="7"/>
      <c r="U17" s="7"/>
      <c r="V17" s="7"/>
      <c r="W17" s="7"/>
      <c r="X17" s="7"/>
      <c r="Y17" s="7">
        <v>0</v>
      </c>
      <c r="Z17" s="7" t="s">
        <v>76</v>
      </c>
      <c r="AA17" s="49">
        <f t="shared" si="1"/>
        <v>0</v>
      </c>
      <c r="AB17" s="50"/>
    </row>
    <row r="18" spans="1:28" ht="10" customHeight="1" outlineLevel="1" thickBot="1" x14ac:dyDescent="0.4">
      <c r="A18" s="7" t="s">
        <v>119</v>
      </c>
      <c r="B18" s="7"/>
      <c r="C18" s="7"/>
      <c r="D18" s="7"/>
      <c r="E18" s="7"/>
      <c r="F18" s="7"/>
      <c r="G18" s="7"/>
      <c r="H18" s="7"/>
      <c r="I18" s="7"/>
      <c r="J18" s="7"/>
      <c r="K18" s="29" t="s">
        <v>0</v>
      </c>
      <c r="L18" s="9"/>
      <c r="M18" s="30"/>
      <c r="N18" s="7"/>
      <c r="O18" s="7"/>
      <c r="P18" s="57" t="s">
        <v>287</v>
      </c>
      <c r="Q18" s="58"/>
      <c r="R18" s="7"/>
      <c r="S18" s="7"/>
      <c r="T18" s="7"/>
      <c r="U18" s="7"/>
      <c r="V18" s="7"/>
      <c r="W18" s="7"/>
      <c r="X18" s="7"/>
      <c r="Y18" s="7">
        <v>1</v>
      </c>
      <c r="Z18" s="7" t="s">
        <v>119</v>
      </c>
      <c r="AA18" s="49">
        <f t="shared" si="1"/>
        <v>4.1666666666666664E-2</v>
      </c>
      <c r="AB18" s="50"/>
    </row>
    <row r="19" spans="1:28" ht="10" customHeight="1" thickBot="1" x14ac:dyDescent="0.4">
      <c r="A19" s="48" t="s">
        <v>123</v>
      </c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13" t="s">
        <v>123</v>
      </c>
      <c r="AA19" s="49">
        <f t="shared" si="1"/>
        <v>0</v>
      </c>
      <c r="AB19" s="50"/>
    </row>
    <row r="20" spans="1:28" ht="10" customHeight="1" outlineLevel="1" thickBot="1" x14ac:dyDescent="0.4">
      <c r="A20" s="7" t="s">
        <v>69</v>
      </c>
      <c r="B20" s="29" t="s">
        <v>156</v>
      </c>
      <c r="C20" s="30"/>
      <c r="D20" s="29" t="s">
        <v>97</v>
      </c>
      <c r="E20" s="30"/>
      <c r="F20" s="7"/>
      <c r="G20" s="7"/>
      <c r="H20" s="29" t="s">
        <v>0</v>
      </c>
      <c r="I20" s="9"/>
      <c r="J20" s="30"/>
      <c r="K20" s="29" t="s">
        <v>0</v>
      </c>
      <c r="L20" s="9"/>
      <c r="M20" s="30"/>
      <c r="N20" s="29" t="s">
        <v>112</v>
      </c>
      <c r="O20" s="30"/>
      <c r="P20" s="57" t="s">
        <v>287</v>
      </c>
      <c r="Q20" s="58"/>
      <c r="R20" s="29" t="s">
        <v>0</v>
      </c>
      <c r="S20" s="9"/>
      <c r="T20" s="9"/>
      <c r="U20" s="9"/>
      <c r="V20" s="9"/>
      <c r="W20" s="9"/>
      <c r="X20" s="30"/>
      <c r="Y20" s="7">
        <v>5.5</v>
      </c>
      <c r="Z20" s="7" t="s">
        <v>69</v>
      </c>
      <c r="AA20" s="49">
        <f t="shared" si="1"/>
        <v>0.22916666666666666</v>
      </c>
      <c r="AB20" s="50"/>
    </row>
    <row r="21" spans="1:28" ht="10" customHeight="1" outlineLevel="1" thickBot="1" x14ac:dyDescent="0.4">
      <c r="A21" s="7" t="s">
        <v>185</v>
      </c>
      <c r="B21" s="29" t="s">
        <v>16</v>
      </c>
      <c r="C21" s="30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30"/>
      <c r="V21" s="57" t="s">
        <v>287</v>
      </c>
      <c r="W21" s="58"/>
      <c r="X21" s="7"/>
      <c r="Y21" s="7">
        <v>5.8299999237060547</v>
      </c>
      <c r="Z21" s="7" t="s">
        <v>185</v>
      </c>
      <c r="AA21" s="49">
        <f t="shared" si="1"/>
        <v>0.24291666348775229</v>
      </c>
      <c r="AB21" s="50"/>
    </row>
    <row r="22" spans="1:28" ht="10" customHeight="1" outlineLevel="1" thickBot="1" x14ac:dyDescent="0.4">
      <c r="A22" s="7" t="s">
        <v>72</v>
      </c>
      <c r="B22" s="29" t="s">
        <v>160</v>
      </c>
      <c r="C22" s="30"/>
      <c r="D22" s="29" t="s">
        <v>98</v>
      </c>
      <c r="E22" s="30"/>
      <c r="F22" s="7"/>
      <c r="G22" s="7"/>
      <c r="H22" s="29" t="s">
        <v>5</v>
      </c>
      <c r="I22" s="9"/>
      <c r="J22" s="9"/>
      <c r="K22" s="9"/>
      <c r="L22" s="9"/>
      <c r="M22" s="30"/>
      <c r="N22" s="57" t="s">
        <v>287</v>
      </c>
      <c r="O22" s="58"/>
      <c r="P22" s="29" t="s">
        <v>275</v>
      </c>
      <c r="Q22" s="9"/>
      <c r="R22" s="9"/>
      <c r="S22" s="9"/>
      <c r="T22" s="9"/>
      <c r="U22" s="9"/>
      <c r="V22" s="9"/>
      <c r="W22" s="9"/>
      <c r="X22" s="30"/>
      <c r="Y22" s="7">
        <v>6.5</v>
      </c>
      <c r="Z22" s="7" t="s">
        <v>72</v>
      </c>
      <c r="AA22" s="49">
        <f t="shared" si="1"/>
        <v>0.27083333333333331</v>
      </c>
      <c r="AB22" s="50"/>
    </row>
    <row r="23" spans="1:28" ht="10" customHeight="1" outlineLevel="1" thickBot="1" x14ac:dyDescent="0.4">
      <c r="A23" s="7" t="s">
        <v>71</v>
      </c>
      <c r="B23" s="7"/>
      <c r="C23" s="7"/>
      <c r="D23" s="29" t="s">
        <v>97</v>
      </c>
      <c r="E23" s="30"/>
      <c r="F23" s="7"/>
      <c r="G23" s="7"/>
      <c r="H23" s="29" t="s">
        <v>0</v>
      </c>
      <c r="I23" s="9"/>
      <c r="J23" s="30"/>
      <c r="K23" s="29" t="s">
        <v>213</v>
      </c>
      <c r="L23" s="9"/>
      <c r="M23" s="30"/>
      <c r="N23" s="57" t="s">
        <v>287</v>
      </c>
      <c r="O23" s="58"/>
      <c r="P23" s="29" t="s">
        <v>165</v>
      </c>
      <c r="Q23" s="30"/>
      <c r="R23" s="29" t="s">
        <v>0</v>
      </c>
      <c r="S23" s="9"/>
      <c r="T23" s="9"/>
      <c r="U23" s="9"/>
      <c r="V23" s="9"/>
      <c r="W23" s="9"/>
      <c r="X23" s="30"/>
      <c r="Y23" s="7">
        <v>5</v>
      </c>
      <c r="Z23" s="7" t="s">
        <v>71</v>
      </c>
      <c r="AA23" s="49">
        <f t="shared" si="1"/>
        <v>0.20833333333333334</v>
      </c>
      <c r="AB23" s="50"/>
    </row>
    <row r="24" spans="1:28" ht="10" customHeight="1" outlineLevel="1" thickBot="1" x14ac:dyDescent="0.4">
      <c r="A24" s="7" t="s">
        <v>70</v>
      </c>
      <c r="B24" s="29" t="s">
        <v>162</v>
      </c>
      <c r="C24" s="30"/>
      <c r="D24" s="7"/>
      <c r="E24" s="7"/>
      <c r="F24" s="7"/>
      <c r="G24" s="7"/>
      <c r="H24" s="29" t="s">
        <v>7</v>
      </c>
      <c r="I24" s="9"/>
      <c r="J24" s="30"/>
      <c r="K24" s="29" t="s">
        <v>7</v>
      </c>
      <c r="L24" s="9"/>
      <c r="M24" s="30"/>
      <c r="N24" s="57" t="s">
        <v>287</v>
      </c>
      <c r="O24" s="58"/>
      <c r="P24" s="7"/>
      <c r="Q24" s="7"/>
      <c r="R24" s="29" t="s">
        <v>216</v>
      </c>
      <c r="S24" s="9"/>
      <c r="T24" s="9"/>
      <c r="U24" s="9"/>
      <c r="V24" s="9"/>
      <c r="W24" s="9"/>
      <c r="X24" s="30"/>
      <c r="Y24" s="7">
        <v>4.5</v>
      </c>
      <c r="Z24" s="7" t="s">
        <v>70</v>
      </c>
      <c r="AA24" s="49">
        <f t="shared" si="1"/>
        <v>0.1875</v>
      </c>
      <c r="AB24" s="50"/>
    </row>
    <row r="25" spans="1:28" ht="10" customHeight="1" outlineLevel="1" thickBot="1" x14ac:dyDescent="0.4">
      <c r="A25" s="7" t="s">
        <v>82</v>
      </c>
      <c r="B25" s="7"/>
      <c r="C25" s="7"/>
      <c r="D25" s="7"/>
      <c r="E25" s="7"/>
      <c r="F25" s="7"/>
      <c r="G25" s="7"/>
      <c r="H25" s="7"/>
      <c r="I25" s="7"/>
      <c r="J25" s="7"/>
      <c r="K25" s="29" t="s">
        <v>192</v>
      </c>
      <c r="L25" s="9"/>
      <c r="M25" s="30"/>
      <c r="N25" s="57" t="s">
        <v>287</v>
      </c>
      <c r="O25" s="58"/>
      <c r="P25" s="29" t="s">
        <v>275</v>
      </c>
      <c r="Q25" s="9"/>
      <c r="R25" s="9"/>
      <c r="S25" s="9"/>
      <c r="T25" s="9"/>
      <c r="U25" s="9"/>
      <c r="V25" s="9"/>
      <c r="W25" s="9"/>
      <c r="X25" s="30"/>
      <c r="Y25" s="7">
        <v>4.3299999237060547</v>
      </c>
      <c r="Z25" s="7" t="s">
        <v>82</v>
      </c>
      <c r="AA25" s="49">
        <f t="shared" si="1"/>
        <v>0.18041666348775229</v>
      </c>
      <c r="AB25" s="50"/>
    </row>
    <row r="26" spans="1:28" ht="10" customHeight="1" outlineLevel="1" thickBot="1" x14ac:dyDescent="0.4">
      <c r="A26" s="7" t="s">
        <v>80</v>
      </c>
      <c r="B26" s="29" t="s">
        <v>162</v>
      </c>
      <c r="C26" s="30"/>
      <c r="D26" s="29" t="s">
        <v>98</v>
      </c>
      <c r="E26" s="30"/>
      <c r="F26" s="7"/>
      <c r="G26" s="7"/>
      <c r="H26" s="29" t="s">
        <v>7</v>
      </c>
      <c r="I26" s="9"/>
      <c r="J26" s="30"/>
      <c r="K26" s="7"/>
      <c r="L26" s="7"/>
      <c r="M26" s="7"/>
      <c r="N26" s="57" t="s">
        <v>287</v>
      </c>
      <c r="O26" s="58"/>
      <c r="P26" s="29" t="s">
        <v>198</v>
      </c>
      <c r="Q26" s="9"/>
      <c r="R26" s="9"/>
      <c r="S26" s="9"/>
      <c r="T26" s="9"/>
      <c r="U26" s="9"/>
      <c r="V26" s="9"/>
      <c r="W26" s="9"/>
      <c r="X26" s="30"/>
      <c r="Y26" s="7">
        <v>4.5</v>
      </c>
      <c r="Z26" s="7" t="s">
        <v>80</v>
      </c>
      <c r="AA26" s="49">
        <f t="shared" si="1"/>
        <v>0.1875</v>
      </c>
      <c r="AB26" s="50"/>
    </row>
    <row r="27" spans="1:28" ht="10" customHeight="1" outlineLevel="1" thickBot="1" x14ac:dyDescent="0.4">
      <c r="A27" s="7" t="s">
        <v>81</v>
      </c>
      <c r="B27" s="29" t="s">
        <v>160</v>
      </c>
      <c r="C27" s="30"/>
      <c r="D27" s="29" t="s">
        <v>98</v>
      </c>
      <c r="E27" s="30"/>
      <c r="F27" s="7"/>
      <c r="G27" s="7"/>
      <c r="H27" s="29" t="s">
        <v>5</v>
      </c>
      <c r="I27" s="9"/>
      <c r="J27" s="9"/>
      <c r="K27" s="9"/>
      <c r="L27" s="9"/>
      <c r="M27" s="30"/>
      <c r="N27" s="57" t="s">
        <v>287</v>
      </c>
      <c r="O27" s="58"/>
      <c r="P27" s="29" t="s">
        <v>198</v>
      </c>
      <c r="Q27" s="9"/>
      <c r="R27" s="9"/>
      <c r="S27" s="9"/>
      <c r="T27" s="9"/>
      <c r="U27" s="9"/>
      <c r="V27" s="9"/>
      <c r="W27" s="9"/>
      <c r="X27" s="30"/>
      <c r="Y27" s="7">
        <v>5.5</v>
      </c>
      <c r="Z27" s="7" t="s">
        <v>81</v>
      </c>
      <c r="AA27" s="49">
        <f t="shared" si="1"/>
        <v>0.22916666666666666</v>
      </c>
      <c r="AB27" s="50"/>
    </row>
    <row r="28" spans="1:28" ht="10" customHeight="1" thickBot="1" x14ac:dyDescent="0.4">
      <c r="A28" s="13" t="s">
        <v>124</v>
      </c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13" t="s">
        <v>124</v>
      </c>
      <c r="AA28" s="49">
        <f t="shared" si="1"/>
        <v>0</v>
      </c>
      <c r="AB28" s="50"/>
    </row>
    <row r="29" spans="1:28" ht="10" customHeight="1" outlineLevel="1" thickBot="1" x14ac:dyDescent="0.4">
      <c r="A29" s="7" t="s">
        <v>100</v>
      </c>
      <c r="B29" s="7"/>
      <c r="C29" s="7"/>
      <c r="D29" s="29" t="s">
        <v>13</v>
      </c>
      <c r="E29" s="9"/>
      <c r="F29" s="9"/>
      <c r="G29" s="9"/>
      <c r="H29" s="9"/>
      <c r="I29" s="9"/>
      <c r="J29" s="9"/>
      <c r="K29" s="9"/>
      <c r="L29" s="9"/>
      <c r="M29" s="30"/>
      <c r="N29" s="57" t="s">
        <v>287</v>
      </c>
      <c r="O29" s="58"/>
      <c r="P29" s="9"/>
      <c r="Q29" s="30"/>
      <c r="R29" s="29" t="s">
        <v>216</v>
      </c>
      <c r="S29" s="9"/>
      <c r="T29" s="9"/>
      <c r="U29" s="9"/>
      <c r="V29" s="9"/>
      <c r="W29" s="9"/>
      <c r="X29" s="30"/>
      <c r="Y29" s="7">
        <v>5.8299999237060547</v>
      </c>
      <c r="Z29" s="7" t="s">
        <v>100</v>
      </c>
      <c r="AA29" s="49">
        <f t="shared" si="1"/>
        <v>0.24291666348775229</v>
      </c>
      <c r="AB29" s="50"/>
    </row>
    <row r="30" spans="1:28" ht="10" customHeight="1" outlineLevel="1" thickBot="1" x14ac:dyDescent="0.4">
      <c r="A30" s="7" t="s">
        <v>99</v>
      </c>
      <c r="B30" s="7"/>
      <c r="C30" s="7"/>
      <c r="D30" s="29" t="s">
        <v>97</v>
      </c>
      <c r="E30" s="30"/>
      <c r="F30" s="7"/>
      <c r="G30" s="7"/>
      <c r="H30" s="7"/>
      <c r="I30" s="7"/>
      <c r="J30" s="7"/>
      <c r="K30" s="7"/>
      <c r="L30" s="57" t="s">
        <v>287</v>
      </c>
      <c r="M30" s="58"/>
      <c r="N30" s="29" t="s">
        <v>112</v>
      </c>
      <c r="O30" s="9"/>
      <c r="P30" s="9"/>
      <c r="Q30" s="30"/>
      <c r="R30" s="29" t="s">
        <v>216</v>
      </c>
      <c r="S30" s="9"/>
      <c r="T30" s="9"/>
      <c r="U30" s="9"/>
      <c r="V30" s="9"/>
      <c r="W30" s="9"/>
      <c r="X30" s="30"/>
      <c r="Y30" s="7">
        <v>3.8299999237060547</v>
      </c>
      <c r="Z30" s="7" t="s">
        <v>99</v>
      </c>
      <c r="AA30" s="49">
        <f t="shared" si="1"/>
        <v>0.15958333015441895</v>
      </c>
      <c r="AB30" s="50"/>
    </row>
    <row r="31" spans="1:28" ht="10" customHeight="1" outlineLevel="1" thickBot="1" x14ac:dyDescent="0.4">
      <c r="A31" s="7" t="s">
        <v>125</v>
      </c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57" t="s">
        <v>287</v>
      </c>
      <c r="O31" s="58"/>
      <c r="P31" s="7"/>
      <c r="Q31" s="7"/>
      <c r="R31" s="7"/>
      <c r="S31" s="7"/>
      <c r="T31" s="7"/>
      <c r="U31" s="7"/>
      <c r="V31" s="7"/>
      <c r="W31" s="7"/>
      <c r="X31" s="7"/>
      <c r="Y31" s="7">
        <v>0</v>
      </c>
      <c r="Z31" s="7" t="s">
        <v>125</v>
      </c>
      <c r="AA31" s="49">
        <f t="shared" si="1"/>
        <v>0</v>
      </c>
      <c r="AB31" s="50"/>
    </row>
    <row r="32" spans="1:28" ht="10" customHeight="1" thickBot="1" x14ac:dyDescent="0.4">
      <c r="A32" s="7" t="s">
        <v>157</v>
      </c>
      <c r="B32" s="29" t="s">
        <v>160</v>
      </c>
      <c r="C32" s="30"/>
      <c r="D32" s="29" t="s">
        <v>97</v>
      </c>
      <c r="E32" s="30"/>
      <c r="F32" s="7"/>
      <c r="G32" s="7"/>
      <c r="H32" s="29" t="s">
        <v>5</v>
      </c>
      <c r="I32" s="9"/>
      <c r="J32" s="9"/>
      <c r="K32" s="9"/>
      <c r="L32" s="9"/>
      <c r="M32" s="30"/>
      <c r="N32" s="57" t="s">
        <v>287</v>
      </c>
      <c r="O32" s="58"/>
      <c r="P32" s="29" t="s">
        <v>165</v>
      </c>
      <c r="Q32" s="30"/>
      <c r="R32" s="29" t="s">
        <v>191</v>
      </c>
      <c r="S32" s="9"/>
      <c r="T32" s="9"/>
      <c r="U32" s="9"/>
      <c r="V32" s="9"/>
      <c r="W32" s="9"/>
      <c r="X32" s="30"/>
      <c r="Y32" s="7">
        <v>5.5</v>
      </c>
      <c r="Z32" s="7" t="s">
        <v>157</v>
      </c>
      <c r="AA32" s="49">
        <f t="shared" si="1"/>
        <v>0.22916666666666666</v>
      </c>
      <c r="AB32" s="43"/>
    </row>
    <row r="33" spans="1:28" ht="10" customHeight="1" x14ac:dyDescent="0.35">
      <c r="A33" s="39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43"/>
      <c r="AB33" s="43"/>
    </row>
    <row r="34" spans="1:28" ht="10" customHeight="1" x14ac:dyDescent="0.35">
      <c r="A34" s="39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43"/>
      <c r="AB34" s="43"/>
    </row>
    <row r="35" spans="1:28" ht="10" customHeight="1" x14ac:dyDescent="0.35">
      <c r="A35" s="39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43"/>
      <c r="AB35" s="43"/>
    </row>
    <row r="36" spans="1:28" ht="10" customHeight="1" x14ac:dyDescent="0.35">
      <c r="A36" s="39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43"/>
      <c r="AB36" s="43"/>
    </row>
    <row r="37" spans="1:28" ht="10" customHeight="1" x14ac:dyDescent="0.35">
      <c r="A37" s="39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43"/>
      <c r="AB37" s="43"/>
    </row>
    <row r="38" spans="1:28" ht="10" customHeight="1" x14ac:dyDescent="0.35">
      <c r="A38" s="43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43"/>
      <c r="AB38" s="43"/>
    </row>
    <row r="39" spans="1:28" ht="10" customHeight="1" x14ac:dyDescent="0.35">
      <c r="A39" s="43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43"/>
      <c r="AB39" s="43"/>
    </row>
    <row r="40" spans="1:28" ht="10" customHeight="1" x14ac:dyDescent="0.35">
      <c r="A40" s="43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43"/>
      <c r="AB40" s="43"/>
    </row>
    <row r="41" spans="1:28" x14ac:dyDescent="0.35"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8" x14ac:dyDescent="0.35"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8" x14ac:dyDescent="0.35"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8" x14ac:dyDescent="0.35"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8" x14ac:dyDescent="0.35"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8" x14ac:dyDescent="0.35"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8" x14ac:dyDescent="0.35"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8" x14ac:dyDescent="0.35"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2:26" x14ac:dyDescent="0.3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2:26" x14ac:dyDescent="0.3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100" spans="4:29" x14ac:dyDescent="0.35">
      <c r="D100" t="s">
        <v>230</v>
      </c>
      <c r="E100">
        <v>15</v>
      </c>
      <c r="T100" t="s">
        <v>282</v>
      </c>
      <c r="U100" t="s">
        <v>288</v>
      </c>
      <c r="V100" t="s">
        <v>289</v>
      </c>
      <c r="W100" t="s">
        <v>290</v>
      </c>
      <c r="X100" t="s">
        <v>291</v>
      </c>
      <c r="Y100" t="s">
        <v>292</v>
      </c>
      <c r="Z100" t="s">
        <v>293</v>
      </c>
      <c r="AA100" s="1" t="s">
        <v>280</v>
      </c>
      <c r="AB100" s="53" t="s">
        <v>283</v>
      </c>
      <c r="AC100" s="53" t="s">
        <v>284</v>
      </c>
    </row>
    <row r="101" spans="4:29" x14ac:dyDescent="0.35">
      <c r="D101" t="s">
        <v>231</v>
      </c>
      <c r="E101">
        <v>4</v>
      </c>
      <c r="AA101" s="2">
        <f t="shared" ref="AA101:AA107" si="2">Y101/24</f>
        <v>0</v>
      </c>
      <c r="AB101" s="52">
        <f>TeacherContactHourTable[[#This Row],[Column3]]-TeacherContactHourTable[[#This Row],[Column2]]</f>
        <v>0</v>
      </c>
      <c r="AC101" s="2">
        <f>TeacherContactHourTable[[#This Row],[Allocatable Teaching Time]]/24</f>
        <v>0</v>
      </c>
    </row>
    <row r="102" spans="4:29" x14ac:dyDescent="0.35">
      <c r="D102" t="s">
        <v>232</v>
      </c>
      <c r="E102">
        <v>6</v>
      </c>
      <c r="AA102" s="2">
        <f t="shared" si="2"/>
        <v>0</v>
      </c>
      <c r="AB102" s="52">
        <f>TeacherContactHourTable[[#This Row],[Column3]]-TeacherContactHourTable[[#This Row],[Column2]]</f>
        <v>0</v>
      </c>
      <c r="AC102" s="2">
        <f>TeacherContactHourTable[[#This Row],[Allocatable Teaching Time]]/24</f>
        <v>0</v>
      </c>
    </row>
    <row r="103" spans="4:29" x14ac:dyDescent="0.35">
      <c r="D103" t="s">
        <v>170</v>
      </c>
      <c r="E103">
        <v>7</v>
      </c>
      <c r="AA103" s="2">
        <f t="shared" si="2"/>
        <v>0</v>
      </c>
      <c r="AB103" s="52">
        <f>TeacherContactHourTable[[#This Row],[Column3]]-TeacherContactHourTable[[#This Row],[Column2]]</f>
        <v>0</v>
      </c>
      <c r="AC103" s="2">
        <f>TeacherContactHourTable[[#This Row],[Allocatable Teaching Time]]/24</f>
        <v>0</v>
      </c>
    </row>
    <row r="104" spans="4:29" x14ac:dyDescent="0.35">
      <c r="D104" t="s">
        <v>233</v>
      </c>
      <c r="E104">
        <v>9</v>
      </c>
      <c r="AA104" s="2">
        <f t="shared" si="2"/>
        <v>0</v>
      </c>
      <c r="AB104" s="52">
        <f>TeacherContactHourTable[[#This Row],[Column3]]-TeacherContactHourTable[[#This Row],[Column2]]</f>
        <v>0</v>
      </c>
      <c r="AC104" s="2">
        <f>TeacherContactHourTable[[#This Row],[Allocatable Teaching Time]]/24</f>
        <v>0</v>
      </c>
    </row>
    <row r="105" spans="4:29" x14ac:dyDescent="0.35">
      <c r="D105" t="s">
        <v>205</v>
      </c>
      <c r="E105">
        <v>16</v>
      </c>
      <c r="AA105" s="2">
        <f t="shared" si="2"/>
        <v>0</v>
      </c>
      <c r="AB105" s="52">
        <f>TeacherContactHourTable[[#This Row],[Column3]]-TeacherContactHourTable[[#This Row],[Column2]]</f>
        <v>0</v>
      </c>
      <c r="AC105" s="2">
        <f>TeacherContactHourTable[[#This Row],[Allocatable Teaching Time]]/24</f>
        <v>0</v>
      </c>
    </row>
    <row r="106" spans="4:29" x14ac:dyDescent="0.35">
      <c r="D106" t="s">
        <v>234</v>
      </c>
      <c r="E106">
        <v>20</v>
      </c>
      <c r="AA106" s="2">
        <f t="shared" si="2"/>
        <v>0</v>
      </c>
      <c r="AB106" s="52">
        <f>TeacherContactHourTable[[#This Row],[Column3]]-TeacherContactHourTable[[#This Row],[Column2]]</f>
        <v>0</v>
      </c>
      <c r="AC106" s="2">
        <f>TeacherContactHourTable[[#This Row],[Allocatable Teaching Time]]/24</f>
        <v>0</v>
      </c>
    </row>
    <row r="107" spans="4:29" x14ac:dyDescent="0.35">
      <c r="D107" t="s">
        <v>171</v>
      </c>
      <c r="E107">
        <v>8</v>
      </c>
      <c r="AA107" s="2">
        <f t="shared" si="2"/>
        <v>0</v>
      </c>
      <c r="AB107" s="52">
        <f>TeacherContactHourTable[[#This Row],[Column3]]-TeacherContactHourTable[[#This Row],[Column2]]</f>
        <v>0</v>
      </c>
      <c r="AC107" s="2">
        <f>TeacherContactHourTable[[#This Row],[Allocatable Teaching Time]]/24</f>
        <v>0</v>
      </c>
    </row>
    <row r="108" spans="4:29" x14ac:dyDescent="0.35">
      <c r="D108" t="s">
        <v>235</v>
      </c>
      <c r="E108">
        <v>12</v>
      </c>
      <c r="AB108">
        <f>TeacherContactHourTable[[#This Row],[Column3]]-TeacherContactHourTable[[#This Row],[Column2]]</f>
        <v>0</v>
      </c>
      <c r="AC108">
        <f>TeacherContactHourTable[[#This Row],[Allocatable Teaching Time]]/24</f>
        <v>0</v>
      </c>
    </row>
    <row r="109" spans="4:29" x14ac:dyDescent="0.35">
      <c r="D109" t="s">
        <v>206</v>
      </c>
      <c r="E109">
        <v>26</v>
      </c>
      <c r="AA109" s="2"/>
    </row>
    <row r="110" spans="4:29" x14ac:dyDescent="0.35">
      <c r="D110" t="s">
        <v>236</v>
      </c>
      <c r="E110">
        <v>5</v>
      </c>
      <c r="AA110" s="2"/>
    </row>
    <row r="111" spans="4:29" x14ac:dyDescent="0.35">
      <c r="D111" t="s">
        <v>237</v>
      </c>
      <c r="E111">
        <v>6</v>
      </c>
    </row>
    <row r="112" spans="4:29" x14ac:dyDescent="0.35">
      <c r="D112" t="s">
        <v>172</v>
      </c>
      <c r="E112">
        <v>7</v>
      </c>
    </row>
    <row r="113" spans="4:5" x14ac:dyDescent="0.35">
      <c r="D113" t="s">
        <v>267</v>
      </c>
      <c r="E113">
        <v>11</v>
      </c>
    </row>
    <row r="114" spans="4:5" x14ac:dyDescent="0.35">
      <c r="D114" t="s">
        <v>268</v>
      </c>
      <c r="E114">
        <v>25</v>
      </c>
    </row>
    <row r="115" spans="4:5" x14ac:dyDescent="0.35">
      <c r="D115" t="s">
        <v>238</v>
      </c>
      <c r="E115">
        <v>8</v>
      </c>
    </row>
    <row r="116" spans="4:5" x14ac:dyDescent="0.35">
      <c r="D116" t="s">
        <v>239</v>
      </c>
      <c r="E116">
        <v>10</v>
      </c>
    </row>
    <row r="117" spans="4:5" x14ac:dyDescent="0.35">
      <c r="D117" t="s">
        <v>207</v>
      </c>
      <c r="E117">
        <v>19</v>
      </c>
    </row>
    <row r="118" spans="4:5" x14ac:dyDescent="0.35">
      <c r="D118" t="s">
        <v>173</v>
      </c>
      <c r="E118">
        <v>8</v>
      </c>
    </row>
    <row r="119" spans="4:5" x14ac:dyDescent="0.35">
      <c r="D119" t="s">
        <v>269</v>
      </c>
      <c r="E119">
        <v>11</v>
      </c>
    </row>
    <row r="120" spans="4:5" x14ac:dyDescent="0.35">
      <c r="D120" t="s">
        <v>208</v>
      </c>
      <c r="E120">
        <v>23</v>
      </c>
    </row>
    <row r="121" spans="4:5" x14ac:dyDescent="0.35">
      <c r="D121" t="s">
        <v>240</v>
      </c>
      <c r="E121">
        <v>20</v>
      </c>
    </row>
    <row r="122" spans="4:5" x14ac:dyDescent="0.35">
      <c r="D122" t="s">
        <v>174</v>
      </c>
      <c r="E122">
        <v>1</v>
      </c>
    </row>
    <row r="123" spans="4:5" x14ac:dyDescent="0.35">
      <c r="D123" t="s">
        <v>175</v>
      </c>
      <c r="E123">
        <v>4</v>
      </c>
    </row>
    <row r="124" spans="4:5" x14ac:dyDescent="0.35">
      <c r="D124" t="s">
        <v>176</v>
      </c>
      <c r="E124">
        <v>7</v>
      </c>
    </row>
    <row r="125" spans="4:5" x14ac:dyDescent="0.35">
      <c r="D125" t="s">
        <v>241</v>
      </c>
      <c r="E125">
        <v>9</v>
      </c>
    </row>
    <row r="126" spans="4:5" x14ac:dyDescent="0.35">
      <c r="D126" t="s">
        <v>209</v>
      </c>
      <c r="E126">
        <v>16</v>
      </c>
    </row>
    <row r="127" spans="4:5" x14ac:dyDescent="0.35">
      <c r="D127" t="s">
        <v>242</v>
      </c>
      <c r="E127">
        <v>20</v>
      </c>
    </row>
    <row r="128" spans="4:5" x14ac:dyDescent="0.35">
      <c r="D128" t="s">
        <v>279</v>
      </c>
      <c r="E128">
        <v>1</v>
      </c>
    </row>
    <row r="129" spans="4:5" x14ac:dyDescent="0.35">
      <c r="D129" t="s">
        <v>243</v>
      </c>
      <c r="E129">
        <v>15</v>
      </c>
    </row>
    <row r="130" spans="4:5" x14ac:dyDescent="0.35">
      <c r="D130" t="s">
        <v>180</v>
      </c>
      <c r="E130">
        <v>1</v>
      </c>
    </row>
    <row r="131" spans="4:5" x14ac:dyDescent="0.35">
      <c r="D131" t="s">
        <v>180</v>
      </c>
      <c r="E131">
        <v>2</v>
      </c>
    </row>
    <row r="132" spans="4:5" x14ac:dyDescent="0.35">
      <c r="D132" t="s">
        <v>140</v>
      </c>
      <c r="E132">
        <v>5</v>
      </c>
    </row>
    <row r="133" spans="4:5" x14ac:dyDescent="0.35">
      <c r="D133" t="s">
        <v>177</v>
      </c>
      <c r="E133">
        <v>7</v>
      </c>
    </row>
    <row r="134" spans="4:5" x14ac:dyDescent="0.35">
      <c r="D134" t="s">
        <v>244</v>
      </c>
      <c r="E134">
        <v>10</v>
      </c>
    </row>
    <row r="135" spans="4:5" x14ac:dyDescent="0.35">
      <c r="D135" t="s">
        <v>245</v>
      </c>
      <c r="E135">
        <v>17</v>
      </c>
    </row>
    <row r="136" spans="4:5" x14ac:dyDescent="0.35">
      <c r="D136" t="s">
        <v>189</v>
      </c>
      <c r="E136">
        <v>4</v>
      </c>
    </row>
    <row r="137" spans="4:5" x14ac:dyDescent="0.35">
      <c r="D137" t="s">
        <v>178</v>
      </c>
      <c r="E137">
        <v>8</v>
      </c>
    </row>
    <row r="138" spans="4:5" x14ac:dyDescent="0.35">
      <c r="D138" t="s">
        <v>246</v>
      </c>
      <c r="E138">
        <v>9</v>
      </c>
    </row>
    <row r="139" spans="4:5" x14ac:dyDescent="0.35">
      <c r="D139" t="s">
        <v>247</v>
      </c>
      <c r="E139">
        <v>13</v>
      </c>
    </row>
    <row r="140" spans="4:5" x14ac:dyDescent="0.35">
      <c r="D140" t="s">
        <v>210</v>
      </c>
      <c r="E140">
        <v>16</v>
      </c>
    </row>
    <row r="141" spans="4:5" x14ac:dyDescent="0.35">
      <c r="D141" t="s">
        <v>190</v>
      </c>
      <c r="E141">
        <v>3</v>
      </c>
    </row>
    <row r="142" spans="4:5" x14ac:dyDescent="0.35">
      <c r="D142" t="s">
        <v>270</v>
      </c>
      <c r="E142">
        <v>11</v>
      </c>
    </row>
    <row r="143" spans="4:5" x14ac:dyDescent="0.35">
      <c r="D143" t="s">
        <v>248</v>
      </c>
      <c r="E143">
        <v>18</v>
      </c>
    </row>
    <row r="144" spans="4:5" x14ac:dyDescent="0.35">
      <c r="D144" t="s">
        <v>271</v>
      </c>
      <c r="E144">
        <v>25</v>
      </c>
    </row>
    <row r="145" spans="4:5" x14ac:dyDescent="0.35">
      <c r="D145" t="s">
        <v>179</v>
      </c>
      <c r="E145">
        <v>7</v>
      </c>
    </row>
    <row r="146" spans="4:5" x14ac:dyDescent="0.35">
      <c r="D146" t="s">
        <v>249</v>
      </c>
      <c r="E146">
        <v>17</v>
      </c>
    </row>
    <row r="147" spans="4:5" x14ac:dyDescent="0.35">
      <c r="D147" t="s">
        <v>272</v>
      </c>
      <c r="E147">
        <v>27</v>
      </c>
    </row>
    <row r="148" spans="4:5" x14ac:dyDescent="0.35">
      <c r="D148" t="s">
        <v>250</v>
      </c>
      <c r="E148">
        <v>3</v>
      </c>
    </row>
    <row r="149" spans="4:5" x14ac:dyDescent="0.35">
      <c r="D149" t="s">
        <v>251</v>
      </c>
      <c r="E149">
        <v>5</v>
      </c>
    </row>
    <row r="150" spans="4:5" x14ac:dyDescent="0.35">
      <c r="D150" t="s">
        <v>273</v>
      </c>
      <c r="E150">
        <v>11</v>
      </c>
    </row>
    <row r="151" spans="4:5" x14ac:dyDescent="0.35">
      <c r="D151" t="s">
        <v>252</v>
      </c>
      <c r="E151">
        <v>22</v>
      </c>
    </row>
    <row r="152" spans="4:5" x14ac:dyDescent="0.35">
      <c r="D152" t="s">
        <v>181</v>
      </c>
      <c r="E152">
        <v>2</v>
      </c>
    </row>
    <row r="153" spans="4:5" x14ac:dyDescent="0.35">
      <c r="D153" t="s">
        <v>199</v>
      </c>
      <c r="E153">
        <v>5</v>
      </c>
    </row>
    <row r="154" spans="4:5" x14ac:dyDescent="0.35">
      <c r="D154" t="s">
        <v>253</v>
      </c>
      <c r="E154">
        <v>10</v>
      </c>
    </row>
    <row r="155" spans="4:5" x14ac:dyDescent="0.35">
      <c r="D155" t="s">
        <v>254</v>
      </c>
      <c r="E155">
        <v>24</v>
      </c>
    </row>
    <row r="156" spans="4:5" x14ac:dyDescent="0.35">
      <c r="D156" t="s">
        <v>255</v>
      </c>
      <c r="E156">
        <v>12</v>
      </c>
    </row>
    <row r="157" spans="4:5" x14ac:dyDescent="0.35">
      <c r="D157" t="s">
        <v>257</v>
      </c>
      <c r="E157">
        <v>21</v>
      </c>
    </row>
    <row r="158" spans="4:5" x14ac:dyDescent="0.35">
      <c r="D158" t="s">
        <v>256</v>
      </c>
      <c r="E158">
        <v>28</v>
      </c>
    </row>
    <row r="159" spans="4:5" x14ac:dyDescent="0.35">
      <c r="D159" t="s">
        <v>258</v>
      </c>
      <c r="E159">
        <v>4</v>
      </c>
    </row>
    <row r="160" spans="4:5" x14ac:dyDescent="0.35">
      <c r="D160" t="s">
        <v>260</v>
      </c>
      <c r="E160">
        <v>21</v>
      </c>
    </row>
    <row r="161" spans="4:5" x14ac:dyDescent="0.35">
      <c r="D161" t="s">
        <v>259</v>
      </c>
      <c r="E161">
        <v>28</v>
      </c>
    </row>
    <row r="162" spans="4:5" x14ac:dyDescent="0.35">
      <c r="D162" t="s">
        <v>261</v>
      </c>
      <c r="E162">
        <v>2</v>
      </c>
    </row>
    <row r="163" spans="4:5" x14ac:dyDescent="0.35">
      <c r="D163" t="s">
        <v>262</v>
      </c>
      <c r="E163">
        <v>4</v>
      </c>
    </row>
    <row r="164" spans="4:5" x14ac:dyDescent="0.35">
      <c r="D164" t="s">
        <v>186</v>
      </c>
      <c r="E164">
        <v>8</v>
      </c>
    </row>
    <row r="165" spans="4:5" x14ac:dyDescent="0.35">
      <c r="D165" t="s">
        <v>263</v>
      </c>
      <c r="E165">
        <v>10</v>
      </c>
    </row>
    <row r="166" spans="4:5" x14ac:dyDescent="0.35">
      <c r="D166" t="s">
        <v>274</v>
      </c>
      <c r="E166">
        <v>26</v>
      </c>
    </row>
  </sheetData>
  <sortState ref="A24:A31">
    <sortCondition ref="A24"/>
  </sortState>
  <mergeCells count="10">
    <mergeCell ref="R3:S3"/>
    <mergeCell ref="T3:U3"/>
    <mergeCell ref="V3:W3"/>
    <mergeCell ref="P3:Q3"/>
    <mergeCell ref="B3:C3"/>
    <mergeCell ref="D3:E3"/>
    <mergeCell ref="F3:G3"/>
    <mergeCell ref="N3:O3"/>
    <mergeCell ref="H3:J3"/>
    <mergeCell ref="K3:M3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TeacherOverviewButton">
          <controlPr defaultSize="0" autoLine="0" r:id="rId5">
            <anchor moveWithCells="1">
              <from>
                <xdr:col>5</xdr:col>
                <xdr:colOff>355600</xdr:colOff>
                <xdr:row>43</xdr:row>
                <xdr:rowOff>76200</xdr:rowOff>
              </from>
              <to>
                <xdr:col>8</xdr:col>
                <xdr:colOff>120650</xdr:colOff>
                <xdr:row>45</xdr:row>
                <xdr:rowOff>50800</xdr:rowOff>
              </to>
            </anchor>
          </controlPr>
        </control>
      </mc:Choice>
      <mc:Fallback>
        <control shapeId="2050" r:id="rId4" name="TeacherOverviewButton"/>
      </mc:Fallback>
    </mc:AlternateContent>
    <mc:AlternateContent xmlns:mc="http://schemas.openxmlformats.org/markup-compatibility/2006">
      <mc:Choice Requires="x14">
        <control shapeId="2049" r:id="rId6" name="ClearButton">
          <controlPr defaultSize="0" autoLine="0" r:id="rId7">
            <anchor moveWithCells="1">
              <from>
                <xdr:col>0</xdr:col>
                <xdr:colOff>393700</xdr:colOff>
                <xdr:row>43</xdr:row>
                <xdr:rowOff>31750</xdr:rowOff>
              </from>
              <to>
                <xdr:col>3</xdr:col>
                <xdr:colOff>107950</xdr:colOff>
                <xdr:row>45</xdr:row>
                <xdr:rowOff>19050</xdr:rowOff>
              </to>
            </anchor>
          </controlPr>
        </control>
      </mc:Choice>
      <mc:Fallback>
        <control shapeId="2049" r:id="rId6" name="ClearButton"/>
      </mc:Fallback>
    </mc:AlternateContent>
  </controls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3:AC432"/>
  <sheetViews>
    <sheetView showGridLines="0" zoomScaleNormal="100" workbookViewId="0">
      <selection activeCell="F52" sqref="F52"/>
    </sheetView>
  </sheetViews>
  <sheetFormatPr defaultRowHeight="14.5" x14ac:dyDescent="0.35"/>
  <cols>
    <col min="4" max="28" width="7.1796875" customWidth="1"/>
  </cols>
  <sheetData>
    <row r="3" spans="2:29" s="7" customFormat="1" ht="10" customHeight="1" x14ac:dyDescent="0.35">
      <c r="D3" s="4">
        <v>1</v>
      </c>
      <c r="E3" s="4">
        <f t="shared" ref="E3:Y3" si="0">D3+1</f>
        <v>2</v>
      </c>
      <c r="F3" s="4">
        <f t="shared" si="0"/>
        <v>3</v>
      </c>
      <c r="G3" s="4">
        <f t="shared" si="0"/>
        <v>4</v>
      </c>
      <c r="H3" s="4">
        <f t="shared" si="0"/>
        <v>5</v>
      </c>
      <c r="I3" s="4">
        <f t="shared" si="0"/>
        <v>6</v>
      </c>
      <c r="J3" s="4">
        <f t="shared" si="0"/>
        <v>7</v>
      </c>
      <c r="K3" s="4">
        <f t="shared" si="0"/>
        <v>8</v>
      </c>
      <c r="L3" s="4">
        <f t="shared" si="0"/>
        <v>9</v>
      </c>
      <c r="M3" s="4">
        <f t="shared" si="0"/>
        <v>10</v>
      </c>
      <c r="N3" s="4">
        <f t="shared" si="0"/>
        <v>11</v>
      </c>
      <c r="O3" s="4">
        <f t="shared" si="0"/>
        <v>12</v>
      </c>
      <c r="P3" s="4">
        <f t="shared" si="0"/>
        <v>13</v>
      </c>
      <c r="Q3" s="4">
        <f t="shared" si="0"/>
        <v>14</v>
      </c>
      <c r="R3" s="4">
        <f t="shared" si="0"/>
        <v>15</v>
      </c>
      <c r="S3" s="4">
        <f t="shared" si="0"/>
        <v>16</v>
      </c>
      <c r="T3" s="4">
        <f t="shared" si="0"/>
        <v>17</v>
      </c>
      <c r="U3" s="4">
        <f t="shared" si="0"/>
        <v>18</v>
      </c>
      <c r="V3" s="4">
        <f t="shared" si="0"/>
        <v>19</v>
      </c>
      <c r="W3" s="4">
        <f t="shared" si="0"/>
        <v>20</v>
      </c>
      <c r="X3" s="4">
        <f t="shared" si="0"/>
        <v>21</v>
      </c>
      <c r="Y3" s="4">
        <f t="shared" si="0"/>
        <v>22</v>
      </c>
      <c r="Z3" s="4">
        <v>23</v>
      </c>
      <c r="AA3" s="4">
        <v>24</v>
      </c>
    </row>
    <row r="4" spans="2:29" s="7" customFormat="1" ht="10" customHeight="1" thickBot="1" x14ac:dyDescent="0.25">
      <c r="C4" s="39"/>
      <c r="D4" s="44">
        <v>0.375</v>
      </c>
      <c r="E4" s="44">
        <v>0.38541666666666669</v>
      </c>
      <c r="F4" s="44">
        <v>0.39583333333333298</v>
      </c>
      <c r="G4" s="44">
        <v>0.40625</v>
      </c>
      <c r="H4" s="44">
        <v>0.41666666666666702</v>
      </c>
      <c r="I4" s="44">
        <v>0.4236111111111111</v>
      </c>
      <c r="J4" s="44">
        <v>0.43055555555555558</v>
      </c>
      <c r="K4" s="44">
        <v>0.4375</v>
      </c>
      <c r="L4" s="44">
        <v>0.44444444444444442</v>
      </c>
      <c r="M4" s="44">
        <v>0.45833333333333331</v>
      </c>
      <c r="N4" s="44">
        <v>0.47222222222222227</v>
      </c>
      <c r="O4" s="44">
        <v>0.4861111111111111</v>
      </c>
      <c r="P4" s="44">
        <v>0.5</v>
      </c>
      <c r="Q4" s="44">
        <v>0.51041666666666663</v>
      </c>
      <c r="R4" s="44">
        <v>0.52083333333333337</v>
      </c>
      <c r="S4" s="44">
        <v>0.53125</v>
      </c>
      <c r="T4" s="44">
        <v>0.54166666666666663</v>
      </c>
      <c r="U4" s="44">
        <v>0.55555555555555558</v>
      </c>
      <c r="V4" s="44">
        <v>0.56944444444444442</v>
      </c>
      <c r="W4" s="44">
        <v>0.58333333333333337</v>
      </c>
      <c r="X4" s="44">
        <v>0.59722222222222221</v>
      </c>
      <c r="Y4" s="44">
        <v>0.61111111111111105</v>
      </c>
      <c r="Z4" s="44">
        <v>0.625</v>
      </c>
      <c r="AA4" s="44">
        <v>0.63888888888888895</v>
      </c>
      <c r="AB4" s="39"/>
      <c r="AC4" s="39"/>
    </row>
    <row r="5" spans="2:29" s="7" customFormat="1" ht="10" customHeight="1" thickBot="1" x14ac:dyDescent="0.35">
      <c r="C5" s="48" t="s">
        <v>115</v>
      </c>
      <c r="D5" s="66" t="s">
        <v>155</v>
      </c>
      <c r="E5" s="68"/>
      <c r="F5" s="66" t="s">
        <v>200</v>
      </c>
      <c r="G5" s="68"/>
      <c r="H5" s="66" t="s">
        <v>78</v>
      </c>
      <c r="I5" s="68"/>
      <c r="J5" s="64" t="s">
        <v>109</v>
      </c>
      <c r="K5" s="67"/>
      <c r="L5" s="65"/>
      <c r="M5" s="64" t="s">
        <v>110</v>
      </c>
      <c r="N5" s="67"/>
      <c r="O5" s="65"/>
      <c r="P5" s="66" t="s">
        <v>112</v>
      </c>
      <c r="Q5" s="68"/>
      <c r="R5" s="66" t="s">
        <v>113</v>
      </c>
      <c r="S5" s="67"/>
      <c r="T5" s="64" t="s">
        <v>111</v>
      </c>
      <c r="U5" s="65"/>
      <c r="V5" s="64" t="s">
        <v>114</v>
      </c>
      <c r="W5" s="65"/>
      <c r="X5" s="64" t="s">
        <v>201</v>
      </c>
      <c r="Y5" s="65"/>
      <c r="Z5" s="46" t="s">
        <v>202</v>
      </c>
      <c r="AA5" s="47"/>
      <c r="AB5" s="39"/>
      <c r="AC5" s="39"/>
    </row>
    <row r="6" spans="2:29" s="7" customFormat="1" ht="10" customHeight="1" x14ac:dyDescent="0.35">
      <c r="B6"/>
      <c r="C6" s="7" t="s">
        <v>116</v>
      </c>
      <c r="D6" s="54" t="s">
        <v>16</v>
      </c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34"/>
      <c r="AB6" s="7">
        <v>5.3299999237060547</v>
      </c>
    </row>
    <row r="7" spans="2:29" s="7" customFormat="1" ht="10" customHeight="1" x14ac:dyDescent="0.35">
      <c r="B7"/>
      <c r="D7" s="55" t="s">
        <v>151</v>
      </c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35"/>
    </row>
    <row r="8" spans="2:29" s="7" customFormat="1" ht="10" customHeight="1" x14ac:dyDescent="0.35">
      <c r="B8"/>
      <c r="D8" s="55" t="s">
        <v>116</v>
      </c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35"/>
    </row>
    <row r="9" spans="2:29" s="7" customFormat="1" ht="10" customHeight="1" x14ac:dyDescent="0.35">
      <c r="B9"/>
      <c r="D9" s="55" t="s">
        <v>185</v>
      </c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35"/>
    </row>
    <row r="10" spans="2:29" s="7" customFormat="1" ht="10" customHeight="1" x14ac:dyDescent="0.35">
      <c r="B10"/>
      <c r="D10" s="55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35"/>
    </row>
    <row r="11" spans="2:29" s="7" customFormat="1" ht="10" customHeight="1" thickBot="1" x14ac:dyDescent="0.4">
      <c r="B11"/>
      <c r="D11" s="56" t="s">
        <v>16</v>
      </c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36"/>
    </row>
    <row r="12" spans="2:29" s="7" customFormat="1" ht="10" customHeight="1" x14ac:dyDescent="0.35">
      <c r="B12"/>
    </row>
    <row r="13" spans="2:29" s="7" customFormat="1" ht="10" customHeight="1" thickBot="1" x14ac:dyDescent="0.4">
      <c r="B13"/>
      <c r="D13" s="44">
        <v>0.375</v>
      </c>
      <c r="E13" s="44">
        <v>0.38541666666666669</v>
      </c>
      <c r="F13" s="44">
        <v>0.39583333333333298</v>
      </c>
      <c r="G13" s="44">
        <v>0.40625</v>
      </c>
      <c r="H13" s="44">
        <v>0.41666666666666702</v>
      </c>
      <c r="I13" s="44">
        <v>0.4236111111111111</v>
      </c>
      <c r="J13" s="44">
        <v>0.43055555555555558</v>
      </c>
      <c r="K13" s="44">
        <v>0.4375</v>
      </c>
      <c r="L13" s="44">
        <v>0.44444444444444442</v>
      </c>
      <c r="M13" s="44">
        <v>0.45833333333333331</v>
      </c>
      <c r="N13" s="44">
        <v>0.47222222222222227</v>
      </c>
      <c r="O13" s="44">
        <v>0.4861111111111111</v>
      </c>
      <c r="P13" s="44">
        <v>0.5</v>
      </c>
      <c r="Q13" s="44">
        <v>0.51041666666666663</v>
      </c>
      <c r="R13" s="44">
        <v>0.52083333333333337</v>
      </c>
      <c r="S13" s="44">
        <v>0.53125</v>
      </c>
      <c r="T13" s="44">
        <v>0.54166666666666663</v>
      </c>
      <c r="U13" s="44">
        <v>0.55555555555555558</v>
      </c>
      <c r="V13" s="44">
        <v>0.56944444444444442</v>
      </c>
      <c r="W13" s="44">
        <v>0.58333333333333337</v>
      </c>
      <c r="X13" s="44">
        <v>0.59722222222222221</v>
      </c>
      <c r="Y13" s="44">
        <v>0.61111111111111105</v>
      </c>
      <c r="Z13" s="44">
        <v>0.625</v>
      </c>
      <c r="AA13" s="44">
        <v>0.63888888888888895</v>
      </c>
    </row>
    <row r="14" spans="2:29" s="7" customFormat="1" ht="10" customHeight="1" thickBot="1" x14ac:dyDescent="0.4">
      <c r="B14"/>
      <c r="D14" s="66" t="s">
        <v>155</v>
      </c>
      <c r="E14" s="68"/>
      <c r="F14" s="66" t="s">
        <v>200</v>
      </c>
      <c r="G14" s="68"/>
      <c r="H14" s="66" t="s">
        <v>78</v>
      </c>
      <c r="I14" s="68"/>
      <c r="J14" s="64" t="s">
        <v>109</v>
      </c>
      <c r="K14" s="67"/>
      <c r="L14" s="65"/>
      <c r="M14" s="64" t="s">
        <v>110</v>
      </c>
      <c r="N14" s="67"/>
      <c r="O14" s="65"/>
      <c r="P14" s="66" t="s">
        <v>112</v>
      </c>
      <c r="Q14" s="68"/>
      <c r="R14" s="66" t="s">
        <v>113</v>
      </c>
      <c r="S14" s="67"/>
      <c r="T14" s="64" t="s">
        <v>111</v>
      </c>
      <c r="U14" s="65"/>
      <c r="V14" s="64" t="s">
        <v>114</v>
      </c>
      <c r="W14" s="65"/>
      <c r="X14" s="64" t="s">
        <v>201</v>
      </c>
      <c r="Y14" s="65"/>
      <c r="Z14" s="46" t="s">
        <v>202</v>
      </c>
      <c r="AA14" s="47"/>
    </row>
    <row r="15" spans="2:29" s="7" customFormat="1" ht="10" customHeight="1" x14ac:dyDescent="0.35">
      <c r="B15"/>
      <c r="C15" s="7" t="s">
        <v>75</v>
      </c>
      <c r="F15" s="54" t="s">
        <v>97</v>
      </c>
      <c r="G15" s="23"/>
      <c r="H15" s="72" t="s">
        <v>78</v>
      </c>
      <c r="I15" s="34"/>
      <c r="J15" s="54" t="s">
        <v>0</v>
      </c>
      <c r="K15" s="23"/>
      <c r="L15" s="34"/>
      <c r="M15" s="54" t="s">
        <v>0</v>
      </c>
      <c r="N15" s="23"/>
      <c r="O15" s="34"/>
      <c r="P15" s="54" t="s">
        <v>112</v>
      </c>
      <c r="Q15" s="34"/>
      <c r="T15" s="54" t="s">
        <v>0</v>
      </c>
      <c r="U15" s="23"/>
      <c r="V15" s="23"/>
      <c r="W15" s="23"/>
      <c r="X15" s="23"/>
      <c r="Y15" s="23"/>
      <c r="Z15" s="34"/>
      <c r="AB15" s="7">
        <v>5.3299999237060547</v>
      </c>
    </row>
    <row r="16" spans="2:29" s="7" customFormat="1" ht="10" customHeight="1" x14ac:dyDescent="0.35">
      <c r="B16"/>
      <c r="F16" s="55" t="s">
        <v>141</v>
      </c>
      <c r="G16" s="18"/>
      <c r="H16" s="73" t="s">
        <v>182</v>
      </c>
      <c r="I16" s="35"/>
      <c r="J16" s="55" t="s">
        <v>141</v>
      </c>
      <c r="K16" s="18"/>
      <c r="L16" s="35"/>
      <c r="M16" s="55" t="s">
        <v>141</v>
      </c>
      <c r="N16" s="18"/>
      <c r="O16" s="35"/>
      <c r="P16" s="55" t="s">
        <v>182</v>
      </c>
      <c r="Q16" s="35"/>
      <c r="T16" s="55" t="s">
        <v>141</v>
      </c>
      <c r="U16" s="18"/>
      <c r="V16" s="18"/>
      <c r="W16" s="18"/>
      <c r="X16" s="18"/>
      <c r="Y16" s="18"/>
      <c r="Z16" s="35"/>
    </row>
    <row r="17" spans="2:26" s="7" customFormat="1" ht="10" customHeight="1" x14ac:dyDescent="0.35">
      <c r="B17"/>
      <c r="F17" s="55" t="s">
        <v>75</v>
      </c>
      <c r="G17" s="18"/>
      <c r="H17" s="73" t="s">
        <v>75</v>
      </c>
      <c r="I17" s="35"/>
      <c r="J17" s="55" t="s">
        <v>75</v>
      </c>
      <c r="K17" s="18"/>
      <c r="L17" s="35"/>
      <c r="M17" s="55" t="s">
        <v>75</v>
      </c>
      <c r="N17" s="18"/>
      <c r="O17" s="35"/>
      <c r="P17" s="55" t="s">
        <v>75</v>
      </c>
      <c r="Q17" s="35"/>
      <c r="T17" s="55" t="s">
        <v>75</v>
      </c>
      <c r="U17" s="18"/>
      <c r="V17" s="18"/>
      <c r="W17" s="18"/>
      <c r="X17" s="18"/>
      <c r="Y17" s="18"/>
      <c r="Z17" s="35"/>
    </row>
    <row r="18" spans="2:26" s="7" customFormat="1" ht="10" customHeight="1" x14ac:dyDescent="0.35">
      <c r="B18"/>
      <c r="F18" s="55" t="s">
        <v>71</v>
      </c>
      <c r="G18" s="18"/>
      <c r="H18" s="73" t="s">
        <v>79</v>
      </c>
      <c r="I18" s="35"/>
      <c r="J18" s="55" t="s">
        <v>69</v>
      </c>
      <c r="K18" s="18"/>
      <c r="L18" s="35"/>
      <c r="M18" s="55" t="s">
        <v>119</v>
      </c>
      <c r="N18" s="18"/>
      <c r="O18" s="35"/>
      <c r="P18" s="55" t="s">
        <v>79</v>
      </c>
      <c r="Q18" s="35"/>
      <c r="T18" s="55" t="s">
        <v>69</v>
      </c>
      <c r="U18" s="18"/>
      <c r="V18" s="18"/>
      <c r="W18" s="18"/>
      <c r="X18" s="18"/>
      <c r="Y18" s="18"/>
      <c r="Z18" s="35"/>
    </row>
    <row r="19" spans="2:26" s="7" customFormat="1" ht="10" customHeight="1" x14ac:dyDescent="0.35">
      <c r="B19"/>
      <c r="F19" s="55" t="s">
        <v>69</v>
      </c>
      <c r="G19" s="18"/>
      <c r="H19" s="73"/>
      <c r="I19" s="35"/>
      <c r="J19" s="55" t="s">
        <v>71</v>
      </c>
      <c r="K19" s="18"/>
      <c r="L19" s="35"/>
      <c r="M19" s="55" t="s">
        <v>69</v>
      </c>
      <c r="N19" s="18"/>
      <c r="O19" s="35"/>
      <c r="P19" s="55" t="s">
        <v>72</v>
      </c>
      <c r="Q19" s="35"/>
      <c r="T19" s="55" t="s">
        <v>71</v>
      </c>
      <c r="U19" s="18"/>
      <c r="V19" s="18"/>
      <c r="W19" s="18"/>
      <c r="X19" s="18"/>
      <c r="Y19" s="18"/>
      <c r="Z19" s="35"/>
    </row>
    <row r="20" spans="2:26" s="7" customFormat="1" ht="10" customHeight="1" x14ac:dyDescent="0.35">
      <c r="B20"/>
      <c r="F20" s="55" t="s">
        <v>99</v>
      </c>
      <c r="G20" s="18"/>
      <c r="H20" s="75" t="s">
        <v>148</v>
      </c>
      <c r="I20" s="35"/>
      <c r="J20" s="55"/>
      <c r="K20" s="18"/>
      <c r="L20" s="35"/>
      <c r="M20" s="55"/>
      <c r="N20" s="18"/>
      <c r="O20" s="35"/>
      <c r="P20" s="55" t="s">
        <v>69</v>
      </c>
      <c r="Q20" s="35"/>
      <c r="T20" s="55"/>
      <c r="U20" s="18"/>
      <c r="V20" s="18"/>
      <c r="W20" s="18"/>
      <c r="X20" s="18"/>
      <c r="Y20" s="18"/>
      <c r="Z20" s="35"/>
    </row>
    <row r="21" spans="2:26" s="7" customFormat="1" ht="10" customHeight="1" x14ac:dyDescent="0.35">
      <c r="B21"/>
      <c r="F21" s="55" t="s">
        <v>157</v>
      </c>
      <c r="G21" s="18"/>
      <c r="H21" s="73" t="s">
        <v>2</v>
      </c>
      <c r="I21" s="35"/>
      <c r="J21" s="55" t="s">
        <v>3</v>
      </c>
      <c r="K21" s="18"/>
      <c r="L21" s="35"/>
      <c r="M21" s="55" t="s">
        <v>3</v>
      </c>
      <c r="N21" s="18"/>
      <c r="O21" s="35"/>
      <c r="P21" s="55" t="s">
        <v>82</v>
      </c>
      <c r="Q21" s="35"/>
      <c r="T21" s="55" t="s">
        <v>3</v>
      </c>
      <c r="U21" s="18"/>
      <c r="V21" s="18"/>
      <c r="W21" s="18"/>
      <c r="X21" s="18"/>
      <c r="Y21" s="18"/>
      <c r="Z21" s="35"/>
    </row>
    <row r="22" spans="2:26" s="7" customFormat="1" ht="10" customHeight="1" x14ac:dyDescent="0.35">
      <c r="B22"/>
      <c r="F22" s="55"/>
      <c r="G22" s="18"/>
      <c r="H22" s="73" t="s">
        <v>146</v>
      </c>
      <c r="I22" s="35"/>
      <c r="J22" s="55" t="s">
        <v>4</v>
      </c>
      <c r="K22" s="18"/>
      <c r="L22" s="35"/>
      <c r="M22" s="55" t="s">
        <v>4</v>
      </c>
      <c r="N22" s="18"/>
      <c r="O22" s="35"/>
      <c r="P22" s="55"/>
      <c r="Q22" s="35"/>
      <c r="T22" s="55" t="s">
        <v>4</v>
      </c>
      <c r="U22" s="18"/>
      <c r="V22" s="18"/>
      <c r="W22" s="18"/>
      <c r="X22" s="18"/>
      <c r="Y22" s="18"/>
      <c r="Z22" s="35"/>
    </row>
    <row r="23" spans="2:26" s="7" customFormat="1" ht="10" customHeight="1" thickBot="1" x14ac:dyDescent="0.4">
      <c r="B23"/>
      <c r="F23" s="76" t="s">
        <v>148</v>
      </c>
      <c r="G23" s="18"/>
      <c r="H23" s="73" t="s">
        <v>150</v>
      </c>
      <c r="I23" s="35"/>
      <c r="J23" s="55" t="s">
        <v>1</v>
      </c>
      <c r="K23" s="18"/>
      <c r="L23" s="35"/>
      <c r="M23" s="56" t="s">
        <v>147</v>
      </c>
      <c r="N23" s="19"/>
      <c r="O23" s="36"/>
      <c r="P23" s="76" t="s">
        <v>148</v>
      </c>
      <c r="Q23" s="35"/>
      <c r="T23" s="55" t="s">
        <v>1</v>
      </c>
      <c r="U23" s="18"/>
      <c r="V23" s="18"/>
      <c r="W23" s="18"/>
      <c r="X23" s="18"/>
      <c r="Y23" s="18"/>
      <c r="Z23" s="35"/>
    </row>
    <row r="24" spans="2:26" s="7" customFormat="1" ht="10" customHeight="1" thickBot="1" x14ac:dyDescent="0.4">
      <c r="B24"/>
      <c r="F24" s="55" t="s">
        <v>150</v>
      </c>
      <c r="G24" s="18"/>
      <c r="H24" s="73" t="s">
        <v>3</v>
      </c>
      <c r="I24" s="35"/>
      <c r="J24" s="56" t="s">
        <v>147</v>
      </c>
      <c r="K24" s="19"/>
      <c r="L24" s="36"/>
      <c r="P24" s="55" t="s">
        <v>2</v>
      </c>
      <c r="Q24" s="35"/>
      <c r="T24" s="56" t="s">
        <v>147</v>
      </c>
      <c r="U24" s="19"/>
      <c r="V24" s="19"/>
      <c r="W24" s="19"/>
      <c r="X24" s="19"/>
      <c r="Y24" s="19"/>
      <c r="Z24" s="36"/>
    </row>
    <row r="25" spans="2:26" s="7" customFormat="1" ht="10" customHeight="1" x14ac:dyDescent="0.35">
      <c r="B25"/>
      <c r="F25" s="55" t="s">
        <v>3</v>
      </c>
      <c r="G25" s="18"/>
      <c r="H25" s="73" t="s">
        <v>4</v>
      </c>
      <c r="I25" s="35"/>
      <c r="P25" s="55" t="s">
        <v>146</v>
      </c>
      <c r="Q25" s="35"/>
    </row>
    <row r="26" spans="2:26" s="7" customFormat="1" ht="10" customHeight="1" x14ac:dyDescent="0.35">
      <c r="B26"/>
      <c r="F26" s="55" t="s">
        <v>4</v>
      </c>
      <c r="G26" s="18"/>
      <c r="H26" s="73" t="s">
        <v>1</v>
      </c>
      <c r="I26" s="35"/>
      <c r="P26" s="55" t="s">
        <v>150</v>
      </c>
      <c r="Q26" s="35"/>
    </row>
    <row r="27" spans="2:26" s="7" customFormat="1" ht="10" customHeight="1" x14ac:dyDescent="0.35">
      <c r="B27"/>
      <c r="F27" s="55" t="s">
        <v>153</v>
      </c>
      <c r="G27" s="18"/>
      <c r="H27" s="73" t="s">
        <v>147</v>
      </c>
      <c r="I27" s="35"/>
      <c r="P27" s="55" t="s">
        <v>3</v>
      </c>
      <c r="Q27" s="35"/>
    </row>
    <row r="28" spans="2:26" s="7" customFormat="1" ht="10" customHeight="1" x14ac:dyDescent="0.35">
      <c r="B28"/>
      <c r="F28" s="55" t="s">
        <v>8</v>
      </c>
      <c r="G28" s="18"/>
      <c r="H28" s="73" t="s">
        <v>10</v>
      </c>
      <c r="I28" s="35"/>
      <c r="P28" s="55" t="s">
        <v>4</v>
      </c>
      <c r="Q28" s="35"/>
    </row>
    <row r="29" spans="2:26" s="7" customFormat="1" ht="10" customHeight="1" thickBot="1" x14ac:dyDescent="0.4">
      <c r="B29"/>
      <c r="F29" s="56" t="s">
        <v>11</v>
      </c>
      <c r="G29" s="19"/>
      <c r="H29" s="73" t="s">
        <v>153</v>
      </c>
      <c r="I29" s="35"/>
      <c r="P29" s="55" t="s">
        <v>1</v>
      </c>
      <c r="Q29" s="35"/>
    </row>
    <row r="30" spans="2:26" s="7" customFormat="1" ht="10" customHeight="1" x14ac:dyDescent="0.35">
      <c r="B30"/>
      <c r="H30" s="73" t="s">
        <v>6</v>
      </c>
      <c r="I30" s="35"/>
      <c r="P30" s="55" t="s">
        <v>147</v>
      </c>
      <c r="Q30" s="35"/>
    </row>
    <row r="31" spans="2:26" s="7" customFormat="1" ht="10" customHeight="1" x14ac:dyDescent="0.35">
      <c r="B31"/>
      <c r="H31" s="73" t="s">
        <v>8</v>
      </c>
      <c r="I31" s="35"/>
      <c r="P31" s="55" t="s">
        <v>10</v>
      </c>
      <c r="Q31" s="35"/>
    </row>
    <row r="32" spans="2:26" s="7" customFormat="1" ht="10" customHeight="1" thickBot="1" x14ac:dyDescent="0.4">
      <c r="B32"/>
      <c r="H32" s="74" t="s">
        <v>11</v>
      </c>
      <c r="I32" s="36"/>
      <c r="P32" s="55" t="s">
        <v>153</v>
      </c>
      <c r="Q32" s="35"/>
    </row>
    <row r="33" spans="2:28" s="7" customFormat="1" ht="10" customHeight="1" x14ac:dyDescent="0.35">
      <c r="B33"/>
      <c r="P33" s="55" t="s">
        <v>6</v>
      </c>
      <c r="Q33" s="35"/>
    </row>
    <row r="34" spans="2:28" s="7" customFormat="1" ht="10" customHeight="1" x14ac:dyDescent="0.35">
      <c r="B34"/>
      <c r="P34" s="55" t="s">
        <v>8</v>
      </c>
      <c r="Q34" s="35"/>
    </row>
    <row r="35" spans="2:28" s="7" customFormat="1" ht="10" customHeight="1" x14ac:dyDescent="0.35">
      <c r="B35"/>
      <c r="P35" s="55" t="s">
        <v>11</v>
      </c>
      <c r="Q35" s="35"/>
    </row>
    <row r="36" spans="2:28" s="7" customFormat="1" ht="10" customHeight="1" thickBot="1" x14ac:dyDescent="0.4">
      <c r="B36"/>
      <c r="P36" s="56" t="s">
        <v>9</v>
      </c>
      <c r="Q36" s="36"/>
    </row>
    <row r="37" spans="2:28" s="7" customFormat="1" ht="10" customHeight="1" x14ac:dyDescent="0.35">
      <c r="B37"/>
    </row>
    <row r="38" spans="2:28" s="7" customFormat="1" ht="10" customHeight="1" thickBot="1" x14ac:dyDescent="0.4">
      <c r="B38"/>
      <c r="D38" s="44">
        <v>0.375</v>
      </c>
      <c r="E38" s="44">
        <v>0.38541666666666669</v>
      </c>
      <c r="F38" s="44">
        <v>0.39583333333333298</v>
      </c>
      <c r="G38" s="44">
        <v>0.40625</v>
      </c>
      <c r="H38" s="44">
        <v>0.41666666666666702</v>
      </c>
      <c r="I38" s="44">
        <v>0.4236111111111111</v>
      </c>
      <c r="J38" s="44">
        <v>0.43055555555555558</v>
      </c>
      <c r="K38" s="44">
        <v>0.4375</v>
      </c>
      <c r="L38" s="44">
        <v>0.44444444444444442</v>
      </c>
      <c r="M38" s="44">
        <v>0.45833333333333331</v>
      </c>
      <c r="N38" s="44">
        <v>0.47222222222222227</v>
      </c>
      <c r="O38" s="44">
        <v>0.4861111111111111</v>
      </c>
      <c r="P38" s="44">
        <v>0.5</v>
      </c>
      <c r="Q38" s="44">
        <v>0.51041666666666663</v>
      </c>
      <c r="R38" s="44">
        <v>0.52083333333333337</v>
      </c>
      <c r="S38" s="44">
        <v>0.53125</v>
      </c>
      <c r="T38" s="44">
        <v>0.54166666666666663</v>
      </c>
      <c r="U38" s="44">
        <v>0.55555555555555558</v>
      </c>
      <c r="V38" s="44">
        <v>0.56944444444444442</v>
      </c>
      <c r="W38" s="44">
        <v>0.58333333333333337</v>
      </c>
      <c r="X38" s="44">
        <v>0.59722222222222221</v>
      </c>
      <c r="Y38" s="44">
        <v>0.61111111111111105</v>
      </c>
      <c r="Z38" s="44">
        <v>0.625</v>
      </c>
      <c r="AA38" s="44">
        <v>0.63888888888888895</v>
      </c>
    </row>
    <row r="39" spans="2:28" s="7" customFormat="1" ht="10" customHeight="1" thickBot="1" x14ac:dyDescent="0.4">
      <c r="B39"/>
      <c r="D39" s="66" t="s">
        <v>155</v>
      </c>
      <c r="E39" s="68"/>
      <c r="F39" s="66" t="s">
        <v>200</v>
      </c>
      <c r="G39" s="68"/>
      <c r="H39" s="66" t="s">
        <v>78</v>
      </c>
      <c r="I39" s="68"/>
      <c r="J39" s="64" t="s">
        <v>109</v>
      </c>
      <c r="K39" s="67"/>
      <c r="L39" s="65"/>
      <c r="M39" s="64" t="s">
        <v>110</v>
      </c>
      <c r="N39" s="67"/>
      <c r="O39" s="65"/>
      <c r="P39" s="66" t="s">
        <v>112</v>
      </c>
      <c r="Q39" s="68"/>
      <c r="R39" s="66" t="s">
        <v>113</v>
      </c>
      <c r="S39" s="67"/>
      <c r="T39" s="64" t="s">
        <v>111</v>
      </c>
      <c r="U39" s="65"/>
      <c r="V39" s="64" t="s">
        <v>114</v>
      </c>
      <c r="W39" s="65"/>
      <c r="X39" s="64" t="s">
        <v>201</v>
      </c>
      <c r="Y39" s="65"/>
      <c r="Z39" s="46" t="s">
        <v>202</v>
      </c>
      <c r="AA39" s="47"/>
    </row>
    <row r="40" spans="2:28" s="7" customFormat="1" ht="10" customHeight="1" x14ac:dyDescent="0.35">
      <c r="B40"/>
      <c r="C40" s="7" t="s">
        <v>117</v>
      </c>
      <c r="AB40" s="7">
        <v>0</v>
      </c>
    </row>
    <row r="41" spans="2:28" s="7" customFormat="1" ht="10" customHeight="1" thickBot="1" x14ac:dyDescent="0.4">
      <c r="B41"/>
      <c r="D41" s="44">
        <v>0.375</v>
      </c>
      <c r="E41" s="44">
        <v>0.38541666666666669</v>
      </c>
      <c r="F41" s="44">
        <v>0.39583333333333298</v>
      </c>
      <c r="G41" s="44">
        <v>0.40625</v>
      </c>
      <c r="H41" s="44">
        <v>0.41666666666666702</v>
      </c>
      <c r="I41" s="44">
        <v>0.4236111111111111</v>
      </c>
      <c r="J41" s="44">
        <v>0.43055555555555558</v>
      </c>
      <c r="K41" s="44">
        <v>0.4375</v>
      </c>
      <c r="L41" s="44">
        <v>0.44444444444444442</v>
      </c>
      <c r="M41" s="44">
        <v>0.45833333333333331</v>
      </c>
      <c r="N41" s="44">
        <v>0.47222222222222227</v>
      </c>
      <c r="O41" s="44">
        <v>0.4861111111111111</v>
      </c>
      <c r="P41" s="44">
        <v>0.5</v>
      </c>
      <c r="Q41" s="44">
        <v>0.51041666666666663</v>
      </c>
      <c r="R41" s="44">
        <v>0.52083333333333337</v>
      </c>
      <c r="S41" s="44">
        <v>0.53125</v>
      </c>
      <c r="T41" s="44">
        <v>0.54166666666666663</v>
      </c>
      <c r="U41" s="44">
        <v>0.55555555555555558</v>
      </c>
      <c r="V41" s="44">
        <v>0.56944444444444442</v>
      </c>
      <c r="W41" s="44">
        <v>0.58333333333333337</v>
      </c>
      <c r="X41" s="44">
        <v>0.59722222222222221</v>
      </c>
      <c r="Y41" s="44">
        <v>0.61111111111111105</v>
      </c>
      <c r="Z41" s="44">
        <v>0.625</v>
      </c>
      <c r="AA41" s="44">
        <v>0.63888888888888895</v>
      </c>
    </row>
    <row r="42" spans="2:28" s="7" customFormat="1" ht="10" customHeight="1" thickBot="1" x14ac:dyDescent="0.4">
      <c r="B42"/>
      <c r="D42" s="66" t="s">
        <v>155</v>
      </c>
      <c r="E42" s="68"/>
      <c r="F42" s="66" t="s">
        <v>200</v>
      </c>
      <c r="G42" s="68"/>
      <c r="H42" s="66" t="s">
        <v>78</v>
      </c>
      <c r="I42" s="68"/>
      <c r="J42" s="64" t="s">
        <v>109</v>
      </c>
      <c r="K42" s="67"/>
      <c r="L42" s="65"/>
      <c r="M42" s="64" t="s">
        <v>110</v>
      </c>
      <c r="N42" s="67"/>
      <c r="O42" s="65"/>
      <c r="P42" s="66" t="s">
        <v>112</v>
      </c>
      <c r="Q42" s="68"/>
      <c r="R42" s="66" t="s">
        <v>113</v>
      </c>
      <c r="S42" s="67"/>
      <c r="T42" s="64" t="s">
        <v>111</v>
      </c>
      <c r="U42" s="65"/>
      <c r="V42" s="64" t="s">
        <v>114</v>
      </c>
      <c r="W42" s="65"/>
      <c r="X42" s="64" t="s">
        <v>201</v>
      </c>
      <c r="Y42" s="65"/>
      <c r="Z42" s="46" t="s">
        <v>202</v>
      </c>
      <c r="AA42" s="47"/>
    </row>
    <row r="43" spans="2:28" s="7" customFormat="1" ht="10" customHeight="1" x14ac:dyDescent="0.35">
      <c r="B43"/>
      <c r="C43" s="7" t="s">
        <v>118</v>
      </c>
      <c r="AB43" s="7">
        <v>0</v>
      </c>
    </row>
    <row r="44" spans="2:28" s="7" customFormat="1" ht="10" customHeight="1" thickBot="1" x14ac:dyDescent="0.4">
      <c r="B44"/>
      <c r="D44" s="44">
        <v>0.375</v>
      </c>
      <c r="E44" s="44">
        <v>0.38541666666666669</v>
      </c>
      <c r="F44" s="44">
        <v>0.39583333333333298</v>
      </c>
      <c r="G44" s="44">
        <v>0.40625</v>
      </c>
      <c r="H44" s="44">
        <v>0.41666666666666702</v>
      </c>
      <c r="I44" s="44">
        <v>0.4236111111111111</v>
      </c>
      <c r="J44" s="44">
        <v>0.43055555555555558</v>
      </c>
      <c r="K44" s="44">
        <v>0.4375</v>
      </c>
      <c r="L44" s="44">
        <v>0.44444444444444442</v>
      </c>
      <c r="M44" s="44">
        <v>0.45833333333333331</v>
      </c>
      <c r="N44" s="44">
        <v>0.47222222222222227</v>
      </c>
      <c r="O44" s="44">
        <v>0.4861111111111111</v>
      </c>
      <c r="P44" s="44">
        <v>0.5</v>
      </c>
      <c r="Q44" s="44">
        <v>0.51041666666666663</v>
      </c>
      <c r="R44" s="44">
        <v>0.52083333333333337</v>
      </c>
      <c r="S44" s="44">
        <v>0.53125</v>
      </c>
      <c r="T44" s="44">
        <v>0.54166666666666663</v>
      </c>
      <c r="U44" s="44">
        <v>0.55555555555555558</v>
      </c>
      <c r="V44" s="44">
        <v>0.56944444444444442</v>
      </c>
      <c r="W44" s="44">
        <v>0.58333333333333337</v>
      </c>
      <c r="X44" s="44">
        <v>0.59722222222222221</v>
      </c>
      <c r="Y44" s="44">
        <v>0.61111111111111105</v>
      </c>
      <c r="Z44" s="44">
        <v>0.625</v>
      </c>
      <c r="AA44" s="44">
        <v>0.63888888888888895</v>
      </c>
    </row>
    <row r="45" spans="2:28" s="7" customFormat="1" ht="10" customHeight="1" thickBot="1" x14ac:dyDescent="0.4">
      <c r="B45"/>
      <c r="D45" s="66" t="s">
        <v>155</v>
      </c>
      <c r="E45" s="68"/>
      <c r="F45" s="66" t="s">
        <v>200</v>
      </c>
      <c r="G45" s="68"/>
      <c r="H45" s="66" t="s">
        <v>78</v>
      </c>
      <c r="I45" s="68"/>
      <c r="J45" s="64" t="s">
        <v>109</v>
      </c>
      <c r="K45" s="67"/>
      <c r="L45" s="65"/>
      <c r="M45" s="64" t="s">
        <v>110</v>
      </c>
      <c r="N45" s="67"/>
      <c r="O45" s="65"/>
      <c r="P45" s="66" t="s">
        <v>112</v>
      </c>
      <c r="Q45" s="68"/>
      <c r="R45" s="66" t="s">
        <v>113</v>
      </c>
      <c r="S45" s="67"/>
      <c r="T45" s="64" t="s">
        <v>111</v>
      </c>
      <c r="U45" s="65"/>
      <c r="V45" s="64" t="s">
        <v>114</v>
      </c>
      <c r="W45" s="65"/>
      <c r="X45" s="64" t="s">
        <v>201</v>
      </c>
      <c r="Y45" s="65"/>
      <c r="Z45" s="46" t="s">
        <v>202</v>
      </c>
      <c r="AA45" s="47"/>
    </row>
    <row r="46" spans="2:28" s="7" customFormat="1" ht="10" customHeight="1" x14ac:dyDescent="0.35">
      <c r="B46"/>
      <c r="C46" s="7" t="s">
        <v>83</v>
      </c>
      <c r="F46" s="54" t="s">
        <v>13</v>
      </c>
      <c r="G46" s="23"/>
      <c r="H46" s="23"/>
      <c r="I46" s="23"/>
      <c r="J46" s="23"/>
      <c r="K46" s="23"/>
      <c r="L46" s="23"/>
      <c r="M46" s="23"/>
      <c r="N46" s="23"/>
      <c r="O46" s="34"/>
      <c r="R46" s="54" t="s">
        <v>165</v>
      </c>
      <c r="S46" s="34"/>
      <c r="T46" s="54" t="s">
        <v>191</v>
      </c>
      <c r="U46" s="23"/>
      <c r="V46" s="23"/>
      <c r="W46" s="23"/>
      <c r="X46" s="23"/>
      <c r="Y46" s="23"/>
      <c r="Z46" s="34"/>
      <c r="AB46" s="7">
        <v>5.3299999237060547</v>
      </c>
    </row>
    <row r="47" spans="2:28" s="7" customFormat="1" ht="10" customHeight="1" x14ac:dyDescent="0.35">
      <c r="B47"/>
      <c r="F47" s="55" t="s">
        <v>144</v>
      </c>
      <c r="G47" s="18"/>
      <c r="H47" s="18"/>
      <c r="I47" s="18"/>
      <c r="J47" s="18"/>
      <c r="K47" s="18"/>
      <c r="L47" s="18"/>
      <c r="M47" s="18"/>
      <c r="N47" s="18"/>
      <c r="O47" s="35"/>
      <c r="R47" s="55" t="s">
        <v>183</v>
      </c>
      <c r="S47" s="35"/>
      <c r="T47" s="55" t="s">
        <v>143</v>
      </c>
      <c r="U47" s="18"/>
      <c r="V47" s="18"/>
      <c r="W47" s="18"/>
      <c r="X47" s="18"/>
      <c r="Y47" s="18"/>
      <c r="Z47" s="35"/>
    </row>
    <row r="48" spans="2:28" s="7" customFormat="1" ht="10" customHeight="1" x14ac:dyDescent="0.35">
      <c r="B48"/>
      <c r="F48" s="55" t="s">
        <v>83</v>
      </c>
      <c r="G48" s="18"/>
      <c r="H48" s="18"/>
      <c r="I48" s="18"/>
      <c r="J48" s="18"/>
      <c r="K48" s="18"/>
      <c r="L48" s="18"/>
      <c r="M48" s="18"/>
      <c r="N48" s="18"/>
      <c r="O48" s="35"/>
      <c r="R48" s="55" t="s">
        <v>73</v>
      </c>
      <c r="S48" s="35"/>
      <c r="T48" s="55" t="s">
        <v>83</v>
      </c>
      <c r="U48" s="18"/>
      <c r="V48" s="18"/>
      <c r="W48" s="18"/>
      <c r="X48" s="18"/>
      <c r="Y48" s="18"/>
      <c r="Z48" s="35"/>
    </row>
    <row r="49" spans="2:27" s="7" customFormat="1" ht="10" customHeight="1" x14ac:dyDescent="0.35">
      <c r="B49"/>
      <c r="F49" s="55" t="s">
        <v>100</v>
      </c>
      <c r="G49" s="18"/>
      <c r="H49" s="18"/>
      <c r="I49" s="18"/>
      <c r="J49" s="18"/>
      <c r="K49" s="18"/>
      <c r="L49" s="18"/>
      <c r="M49" s="18"/>
      <c r="N49" s="18"/>
      <c r="O49" s="35"/>
      <c r="R49" s="55" t="s">
        <v>83</v>
      </c>
      <c r="S49" s="35"/>
      <c r="T49" s="55" t="s">
        <v>157</v>
      </c>
      <c r="U49" s="18"/>
      <c r="V49" s="18"/>
      <c r="W49" s="18"/>
      <c r="X49" s="18"/>
      <c r="Y49" s="18"/>
      <c r="Z49" s="35"/>
    </row>
    <row r="50" spans="2:27" s="7" customFormat="1" ht="10" customHeight="1" x14ac:dyDescent="0.35">
      <c r="B50"/>
      <c r="F50" s="55"/>
      <c r="G50" s="18"/>
      <c r="H50" s="18"/>
      <c r="I50" s="18"/>
      <c r="J50" s="18"/>
      <c r="K50" s="18"/>
      <c r="L50" s="18"/>
      <c r="M50" s="18"/>
      <c r="N50" s="18"/>
      <c r="O50" s="35"/>
      <c r="R50" s="55" t="s">
        <v>77</v>
      </c>
      <c r="S50" s="35"/>
      <c r="T50" s="55"/>
      <c r="U50" s="18"/>
      <c r="V50" s="18"/>
      <c r="W50" s="18"/>
      <c r="X50" s="18"/>
      <c r="Y50" s="18"/>
      <c r="Z50" s="35"/>
    </row>
    <row r="51" spans="2:27" s="7" customFormat="1" ht="10" customHeight="1" thickBot="1" x14ac:dyDescent="0.4">
      <c r="B51"/>
      <c r="F51" s="56" t="s">
        <v>303</v>
      </c>
      <c r="G51" s="19"/>
      <c r="H51" s="19"/>
      <c r="I51" s="19"/>
      <c r="J51" s="19"/>
      <c r="K51" s="19"/>
      <c r="L51" s="19"/>
      <c r="M51" s="19"/>
      <c r="N51" s="19"/>
      <c r="O51" s="36"/>
      <c r="R51" s="55" t="s">
        <v>157</v>
      </c>
      <c r="S51" s="35"/>
      <c r="T51" s="56" t="s">
        <v>150</v>
      </c>
      <c r="U51" s="19"/>
      <c r="V51" s="19"/>
      <c r="W51" s="19"/>
      <c r="X51" s="19"/>
      <c r="Y51" s="19"/>
      <c r="Z51" s="36"/>
    </row>
    <row r="52" spans="2:27" s="7" customFormat="1" ht="10" customHeight="1" x14ac:dyDescent="0.35">
      <c r="B52"/>
      <c r="R52" s="55" t="s">
        <v>71</v>
      </c>
      <c r="S52" s="35"/>
    </row>
    <row r="53" spans="2:27" s="7" customFormat="1" ht="10" customHeight="1" x14ac:dyDescent="0.35">
      <c r="B53"/>
      <c r="R53" s="55"/>
      <c r="S53" s="35"/>
    </row>
    <row r="54" spans="2:27" s="7" customFormat="1" ht="10" customHeight="1" x14ac:dyDescent="0.35">
      <c r="B54"/>
      <c r="R54" s="55" t="s">
        <v>150</v>
      </c>
      <c r="S54" s="35"/>
    </row>
    <row r="55" spans="2:27" s="7" customFormat="1" ht="10" customHeight="1" x14ac:dyDescent="0.35">
      <c r="B55"/>
      <c r="R55" s="55" t="s">
        <v>3</v>
      </c>
      <c r="S55" s="35"/>
    </row>
    <row r="56" spans="2:27" s="7" customFormat="1" ht="10" customHeight="1" x14ac:dyDescent="0.35">
      <c r="B56"/>
      <c r="R56" s="55" t="s">
        <v>4</v>
      </c>
      <c r="S56" s="35"/>
    </row>
    <row r="57" spans="2:27" s="7" customFormat="1" ht="10" customHeight="1" x14ac:dyDescent="0.35">
      <c r="B57"/>
      <c r="R57" s="55" t="s">
        <v>1</v>
      </c>
      <c r="S57" s="35"/>
    </row>
    <row r="58" spans="2:27" s="7" customFormat="1" ht="10" customHeight="1" x14ac:dyDescent="0.35">
      <c r="B58"/>
      <c r="R58" s="55" t="s">
        <v>147</v>
      </c>
      <c r="S58" s="35"/>
    </row>
    <row r="59" spans="2:27" s="7" customFormat="1" ht="10" customHeight="1" x14ac:dyDescent="0.35">
      <c r="B59"/>
      <c r="R59" s="55" t="s">
        <v>10</v>
      </c>
      <c r="S59" s="35"/>
    </row>
    <row r="60" spans="2:27" s="7" customFormat="1" ht="10" customHeight="1" x14ac:dyDescent="0.35">
      <c r="B60"/>
      <c r="R60" s="55" t="s">
        <v>6</v>
      </c>
      <c r="S60" s="35"/>
    </row>
    <row r="61" spans="2:27" s="7" customFormat="1" ht="10" customHeight="1" x14ac:dyDescent="0.35">
      <c r="B61"/>
      <c r="R61" s="55" t="s">
        <v>8</v>
      </c>
      <c r="S61" s="35"/>
    </row>
    <row r="62" spans="2:27" s="7" customFormat="1" ht="10" customHeight="1" thickBot="1" x14ac:dyDescent="0.4">
      <c r="B62"/>
      <c r="R62" s="56" t="s">
        <v>11</v>
      </c>
      <c r="S62" s="36"/>
    </row>
    <row r="63" spans="2:27" s="7" customFormat="1" ht="10" customHeight="1" x14ac:dyDescent="0.35">
      <c r="B63"/>
    </row>
    <row r="64" spans="2:27" s="7" customFormat="1" ht="10" customHeight="1" thickBot="1" x14ac:dyDescent="0.4">
      <c r="B64"/>
      <c r="D64" s="44">
        <v>0.375</v>
      </c>
      <c r="E64" s="44">
        <v>0.38541666666666669</v>
      </c>
      <c r="F64" s="44">
        <v>0.39583333333333298</v>
      </c>
      <c r="G64" s="44">
        <v>0.40625</v>
      </c>
      <c r="H64" s="44">
        <v>0.41666666666666702</v>
      </c>
      <c r="I64" s="44">
        <v>0.4236111111111111</v>
      </c>
      <c r="J64" s="44">
        <v>0.43055555555555558</v>
      </c>
      <c r="K64" s="44">
        <v>0.4375</v>
      </c>
      <c r="L64" s="44">
        <v>0.44444444444444442</v>
      </c>
      <c r="M64" s="44">
        <v>0.45833333333333331</v>
      </c>
      <c r="N64" s="44">
        <v>0.47222222222222227</v>
      </c>
      <c r="O64" s="44">
        <v>0.4861111111111111</v>
      </c>
      <c r="P64" s="44">
        <v>0.5</v>
      </c>
      <c r="Q64" s="44">
        <v>0.51041666666666663</v>
      </c>
      <c r="R64" s="44">
        <v>0.52083333333333337</v>
      </c>
      <c r="S64" s="44">
        <v>0.53125</v>
      </c>
      <c r="T64" s="44">
        <v>0.54166666666666663</v>
      </c>
      <c r="U64" s="44">
        <v>0.55555555555555558</v>
      </c>
      <c r="V64" s="44">
        <v>0.56944444444444442</v>
      </c>
      <c r="W64" s="44">
        <v>0.58333333333333337</v>
      </c>
      <c r="X64" s="44">
        <v>0.59722222222222221</v>
      </c>
      <c r="Y64" s="44">
        <v>0.61111111111111105</v>
      </c>
      <c r="Z64" s="44">
        <v>0.625</v>
      </c>
      <c r="AA64" s="44">
        <v>0.63888888888888895</v>
      </c>
    </row>
    <row r="65" spans="2:28" s="7" customFormat="1" ht="10" customHeight="1" thickBot="1" x14ac:dyDescent="0.4">
      <c r="B65"/>
      <c r="D65" s="66" t="s">
        <v>155</v>
      </c>
      <c r="E65" s="68"/>
      <c r="F65" s="66" t="s">
        <v>200</v>
      </c>
      <c r="G65" s="68"/>
      <c r="H65" s="66" t="s">
        <v>78</v>
      </c>
      <c r="I65" s="68"/>
      <c r="J65" s="64" t="s">
        <v>109</v>
      </c>
      <c r="K65" s="67"/>
      <c r="L65" s="65"/>
      <c r="M65" s="64" t="s">
        <v>110</v>
      </c>
      <c r="N65" s="67"/>
      <c r="O65" s="65"/>
      <c r="P65" s="66" t="s">
        <v>112</v>
      </c>
      <c r="Q65" s="68"/>
      <c r="R65" s="66" t="s">
        <v>113</v>
      </c>
      <c r="S65" s="67"/>
      <c r="T65" s="64" t="s">
        <v>111</v>
      </c>
      <c r="U65" s="65"/>
      <c r="V65" s="64" t="s">
        <v>114</v>
      </c>
      <c r="W65" s="65"/>
      <c r="X65" s="64" t="s">
        <v>201</v>
      </c>
      <c r="Y65" s="65"/>
      <c r="Z65" s="46" t="s">
        <v>202</v>
      </c>
      <c r="AA65" s="47"/>
    </row>
    <row r="66" spans="2:28" s="7" customFormat="1" ht="10" customHeight="1" x14ac:dyDescent="0.35">
      <c r="B66"/>
      <c r="C66" s="7" t="s">
        <v>79</v>
      </c>
      <c r="F66" s="54" t="s">
        <v>98</v>
      </c>
      <c r="G66" s="23"/>
      <c r="H66" s="72" t="s">
        <v>78</v>
      </c>
      <c r="I66" s="34"/>
      <c r="J66" s="54" t="s">
        <v>7</v>
      </c>
      <c r="K66" s="23"/>
      <c r="L66" s="34"/>
      <c r="M66" s="54" t="s">
        <v>7</v>
      </c>
      <c r="N66" s="23"/>
      <c r="O66" s="34"/>
      <c r="P66" s="54" t="s">
        <v>112</v>
      </c>
      <c r="Q66" s="34"/>
      <c r="AB66" s="7">
        <v>3</v>
      </c>
    </row>
    <row r="67" spans="2:28" s="7" customFormat="1" ht="10" customHeight="1" x14ac:dyDescent="0.35">
      <c r="B67"/>
      <c r="F67" s="55" t="s">
        <v>143</v>
      </c>
      <c r="G67" s="18"/>
      <c r="H67" s="73" t="s">
        <v>182</v>
      </c>
      <c r="I67" s="35"/>
      <c r="J67" s="55" t="s">
        <v>143</v>
      </c>
      <c r="K67" s="18"/>
      <c r="L67" s="35"/>
      <c r="M67" s="55" t="s">
        <v>143</v>
      </c>
      <c r="N67" s="18"/>
      <c r="O67" s="35"/>
      <c r="P67" s="55" t="s">
        <v>182</v>
      </c>
      <c r="Q67" s="35"/>
    </row>
    <row r="68" spans="2:28" s="7" customFormat="1" ht="10" customHeight="1" x14ac:dyDescent="0.35">
      <c r="B68"/>
      <c r="F68" s="55" t="s">
        <v>79</v>
      </c>
      <c r="G68" s="18"/>
      <c r="H68" s="73" t="s">
        <v>75</v>
      </c>
      <c r="I68" s="35"/>
      <c r="J68" s="55" t="s">
        <v>79</v>
      </c>
      <c r="K68" s="18"/>
      <c r="L68" s="35"/>
      <c r="M68" s="55" t="s">
        <v>79</v>
      </c>
      <c r="N68" s="18"/>
      <c r="O68" s="35"/>
      <c r="P68" s="55" t="s">
        <v>75</v>
      </c>
      <c r="Q68" s="35"/>
    </row>
    <row r="69" spans="2:28" s="7" customFormat="1" ht="10" customHeight="1" x14ac:dyDescent="0.35">
      <c r="B69"/>
      <c r="F69" s="55" t="s">
        <v>72</v>
      </c>
      <c r="G69" s="18"/>
      <c r="H69" s="73" t="s">
        <v>79</v>
      </c>
      <c r="I69" s="35"/>
      <c r="J69" s="55" t="s">
        <v>77</v>
      </c>
      <c r="K69" s="18"/>
      <c r="L69" s="35"/>
      <c r="M69" s="55" t="s">
        <v>70</v>
      </c>
      <c r="N69" s="18"/>
      <c r="O69" s="35"/>
      <c r="P69" s="55" t="s">
        <v>79</v>
      </c>
      <c r="Q69" s="35"/>
    </row>
    <row r="70" spans="2:28" s="7" customFormat="1" ht="10" customHeight="1" x14ac:dyDescent="0.35">
      <c r="B70"/>
      <c r="F70" s="55" t="s">
        <v>81</v>
      </c>
      <c r="G70" s="18"/>
      <c r="H70" s="73"/>
      <c r="I70" s="35"/>
      <c r="J70" s="55" t="s">
        <v>70</v>
      </c>
      <c r="K70" s="18"/>
      <c r="L70" s="35"/>
      <c r="M70" s="55"/>
      <c r="N70" s="18"/>
      <c r="O70" s="35"/>
      <c r="P70" s="55" t="s">
        <v>72</v>
      </c>
      <c r="Q70" s="35"/>
    </row>
    <row r="71" spans="2:28" s="7" customFormat="1" ht="10" customHeight="1" x14ac:dyDescent="0.35">
      <c r="B71"/>
      <c r="F71" s="55" t="s">
        <v>80</v>
      </c>
      <c r="G71" s="18"/>
      <c r="H71" s="75" t="s">
        <v>148</v>
      </c>
      <c r="I71" s="35"/>
      <c r="J71" s="55" t="s">
        <v>80</v>
      </c>
      <c r="K71" s="18"/>
      <c r="L71" s="35"/>
      <c r="M71" s="55" t="s">
        <v>10</v>
      </c>
      <c r="N71" s="18"/>
      <c r="O71" s="35"/>
      <c r="P71" s="55" t="s">
        <v>69</v>
      </c>
      <c r="Q71" s="35"/>
    </row>
    <row r="72" spans="2:28" s="7" customFormat="1" ht="10" customHeight="1" x14ac:dyDescent="0.35">
      <c r="B72"/>
      <c r="F72" s="55"/>
      <c r="G72" s="18"/>
      <c r="H72" s="73" t="s">
        <v>2</v>
      </c>
      <c r="I72" s="35"/>
      <c r="J72" s="55"/>
      <c r="K72" s="18"/>
      <c r="L72" s="35"/>
      <c r="M72" s="55" t="s">
        <v>153</v>
      </c>
      <c r="N72" s="18"/>
      <c r="O72" s="35"/>
      <c r="P72" s="55" t="s">
        <v>82</v>
      </c>
      <c r="Q72" s="35"/>
    </row>
    <row r="73" spans="2:28" s="7" customFormat="1" ht="10" customHeight="1" x14ac:dyDescent="0.35">
      <c r="B73"/>
      <c r="F73" s="55" t="s">
        <v>2</v>
      </c>
      <c r="G73" s="18"/>
      <c r="H73" s="73" t="s">
        <v>146</v>
      </c>
      <c r="I73" s="35"/>
      <c r="J73" s="55" t="s">
        <v>10</v>
      </c>
      <c r="K73" s="18"/>
      <c r="L73" s="35"/>
      <c r="M73" s="55" t="s">
        <v>8</v>
      </c>
      <c r="N73" s="18"/>
      <c r="O73" s="35"/>
      <c r="P73" s="55"/>
      <c r="Q73" s="35"/>
    </row>
    <row r="74" spans="2:28" s="7" customFormat="1" ht="10" customHeight="1" thickBot="1" x14ac:dyDescent="0.4">
      <c r="B74"/>
      <c r="F74" s="55" t="s">
        <v>146</v>
      </c>
      <c r="G74" s="18"/>
      <c r="H74" s="73" t="s">
        <v>150</v>
      </c>
      <c r="I74" s="35"/>
      <c r="J74" s="55" t="s">
        <v>153</v>
      </c>
      <c r="K74" s="18"/>
      <c r="L74" s="35"/>
      <c r="M74" s="56" t="s">
        <v>11</v>
      </c>
      <c r="N74" s="19"/>
      <c r="O74" s="36"/>
      <c r="P74" s="76" t="s">
        <v>148</v>
      </c>
      <c r="Q74" s="35"/>
    </row>
    <row r="75" spans="2:28" s="7" customFormat="1" ht="10" customHeight="1" x14ac:dyDescent="0.35">
      <c r="B75"/>
      <c r="F75" s="55" t="s">
        <v>1</v>
      </c>
      <c r="G75" s="18"/>
      <c r="H75" s="73" t="s">
        <v>3</v>
      </c>
      <c r="I75" s="35"/>
      <c r="J75" s="55" t="s">
        <v>6</v>
      </c>
      <c r="K75" s="18"/>
      <c r="L75" s="35"/>
      <c r="P75" s="55" t="s">
        <v>2</v>
      </c>
      <c r="Q75" s="35"/>
    </row>
    <row r="76" spans="2:28" s="7" customFormat="1" ht="10" customHeight="1" x14ac:dyDescent="0.35">
      <c r="B76"/>
      <c r="F76" s="55" t="s">
        <v>147</v>
      </c>
      <c r="G76" s="18"/>
      <c r="H76" s="73" t="s">
        <v>4</v>
      </c>
      <c r="I76" s="35"/>
      <c r="J76" s="55" t="s">
        <v>8</v>
      </c>
      <c r="K76" s="18"/>
      <c r="L76" s="35"/>
      <c r="P76" s="55" t="s">
        <v>146</v>
      </c>
      <c r="Q76" s="35"/>
    </row>
    <row r="77" spans="2:28" s="7" customFormat="1" ht="10" customHeight="1" thickBot="1" x14ac:dyDescent="0.4">
      <c r="B77"/>
      <c r="F77" s="55" t="s">
        <v>10</v>
      </c>
      <c r="G77" s="18"/>
      <c r="H77" s="73" t="s">
        <v>1</v>
      </c>
      <c r="I77" s="35"/>
      <c r="J77" s="56" t="s">
        <v>11</v>
      </c>
      <c r="K77" s="19"/>
      <c r="L77" s="36"/>
      <c r="P77" s="55" t="s">
        <v>150</v>
      </c>
      <c r="Q77" s="35"/>
    </row>
    <row r="78" spans="2:28" s="7" customFormat="1" ht="10" customHeight="1" thickBot="1" x14ac:dyDescent="0.4">
      <c r="B78"/>
      <c r="F78" s="56" t="s">
        <v>6</v>
      </c>
      <c r="G78" s="19"/>
      <c r="H78" s="73" t="s">
        <v>147</v>
      </c>
      <c r="I78" s="35"/>
      <c r="P78" s="55" t="s">
        <v>3</v>
      </c>
      <c r="Q78" s="35"/>
    </row>
    <row r="79" spans="2:28" s="7" customFormat="1" ht="10" customHeight="1" x14ac:dyDescent="0.35">
      <c r="B79"/>
      <c r="H79" s="73" t="s">
        <v>10</v>
      </c>
      <c r="I79" s="35"/>
      <c r="P79" s="55" t="s">
        <v>4</v>
      </c>
      <c r="Q79" s="35"/>
    </row>
    <row r="80" spans="2:28" s="7" customFormat="1" ht="10" customHeight="1" x14ac:dyDescent="0.35">
      <c r="B80"/>
      <c r="H80" s="73" t="s">
        <v>153</v>
      </c>
      <c r="I80" s="35"/>
      <c r="P80" s="55" t="s">
        <v>1</v>
      </c>
      <c r="Q80" s="35"/>
    </row>
    <row r="81" spans="2:28" s="7" customFormat="1" ht="10" customHeight="1" x14ac:dyDescent="0.35">
      <c r="B81"/>
      <c r="H81" s="73" t="s">
        <v>6</v>
      </c>
      <c r="I81" s="35"/>
      <c r="P81" s="55" t="s">
        <v>147</v>
      </c>
      <c r="Q81" s="35"/>
    </row>
    <row r="82" spans="2:28" s="7" customFormat="1" ht="10" customHeight="1" x14ac:dyDescent="0.35">
      <c r="B82"/>
      <c r="H82" s="73" t="s">
        <v>8</v>
      </c>
      <c r="I82" s="35"/>
      <c r="P82" s="55" t="s">
        <v>10</v>
      </c>
      <c r="Q82" s="35"/>
    </row>
    <row r="83" spans="2:28" s="7" customFormat="1" ht="10" customHeight="1" thickBot="1" x14ac:dyDescent="0.4">
      <c r="B83"/>
      <c r="H83" s="74" t="s">
        <v>11</v>
      </c>
      <c r="I83" s="36"/>
      <c r="P83" s="55" t="s">
        <v>153</v>
      </c>
      <c r="Q83" s="35"/>
    </row>
    <row r="84" spans="2:28" s="7" customFormat="1" ht="10" customHeight="1" x14ac:dyDescent="0.35">
      <c r="B84"/>
      <c r="P84" s="55" t="s">
        <v>6</v>
      </c>
      <c r="Q84" s="35"/>
    </row>
    <row r="85" spans="2:28" s="7" customFormat="1" ht="10" customHeight="1" x14ac:dyDescent="0.35">
      <c r="B85"/>
      <c r="P85" s="55" t="s">
        <v>8</v>
      </c>
      <c r="Q85" s="35"/>
    </row>
    <row r="86" spans="2:28" s="7" customFormat="1" ht="10" customHeight="1" x14ac:dyDescent="0.35">
      <c r="B86"/>
      <c r="P86" s="55" t="s">
        <v>11</v>
      </c>
      <c r="Q86" s="35"/>
    </row>
    <row r="87" spans="2:28" s="7" customFormat="1" ht="10" customHeight="1" thickBot="1" x14ac:dyDescent="0.4">
      <c r="B87"/>
      <c r="P87" s="56" t="s">
        <v>9</v>
      </c>
      <c r="Q87" s="36"/>
    </row>
    <row r="88" spans="2:28" s="7" customFormat="1" ht="10" customHeight="1" x14ac:dyDescent="0.35">
      <c r="B88"/>
    </row>
    <row r="89" spans="2:28" s="7" customFormat="1" ht="10" customHeight="1" thickBot="1" x14ac:dyDescent="0.4">
      <c r="B89"/>
      <c r="D89" s="44">
        <v>0.375</v>
      </c>
      <c r="E89" s="44">
        <v>0.38541666666666669</v>
      </c>
      <c r="F89" s="44">
        <v>0.39583333333333298</v>
      </c>
      <c r="G89" s="44">
        <v>0.40625</v>
      </c>
      <c r="H89" s="44">
        <v>0.41666666666666702</v>
      </c>
      <c r="I89" s="44">
        <v>0.4236111111111111</v>
      </c>
      <c r="J89" s="44">
        <v>0.43055555555555558</v>
      </c>
      <c r="K89" s="44">
        <v>0.4375</v>
      </c>
      <c r="L89" s="44">
        <v>0.44444444444444442</v>
      </c>
      <c r="M89" s="44">
        <v>0.45833333333333331</v>
      </c>
      <c r="N89" s="44">
        <v>0.47222222222222227</v>
      </c>
      <c r="O89" s="44">
        <v>0.4861111111111111</v>
      </c>
      <c r="P89" s="44">
        <v>0.5</v>
      </c>
      <c r="Q89" s="44">
        <v>0.51041666666666663</v>
      </c>
      <c r="R89" s="44">
        <v>0.52083333333333337</v>
      </c>
      <c r="S89" s="44">
        <v>0.53125</v>
      </c>
      <c r="T89" s="44">
        <v>0.54166666666666663</v>
      </c>
      <c r="U89" s="44">
        <v>0.55555555555555558</v>
      </c>
      <c r="V89" s="44">
        <v>0.56944444444444442</v>
      </c>
      <c r="W89" s="44">
        <v>0.58333333333333337</v>
      </c>
      <c r="X89" s="44">
        <v>0.59722222222222221</v>
      </c>
      <c r="Y89" s="44">
        <v>0.61111111111111105</v>
      </c>
      <c r="Z89" s="44">
        <v>0.625</v>
      </c>
      <c r="AA89" s="44">
        <v>0.63888888888888895</v>
      </c>
    </row>
    <row r="90" spans="2:28" s="7" customFormat="1" ht="10" customHeight="1" thickBot="1" x14ac:dyDescent="0.4">
      <c r="B90"/>
      <c r="D90" s="66" t="s">
        <v>155</v>
      </c>
      <c r="E90" s="68"/>
      <c r="F90" s="66" t="s">
        <v>200</v>
      </c>
      <c r="G90" s="68"/>
      <c r="H90" s="66" t="s">
        <v>78</v>
      </c>
      <c r="I90" s="68"/>
      <c r="J90" s="64" t="s">
        <v>109</v>
      </c>
      <c r="K90" s="67"/>
      <c r="L90" s="65"/>
      <c r="M90" s="64" t="s">
        <v>110</v>
      </c>
      <c r="N90" s="67"/>
      <c r="O90" s="65"/>
      <c r="P90" s="66" t="s">
        <v>112</v>
      </c>
      <c r="Q90" s="68"/>
      <c r="R90" s="66" t="s">
        <v>113</v>
      </c>
      <c r="S90" s="67"/>
      <c r="T90" s="64" t="s">
        <v>111</v>
      </c>
      <c r="U90" s="65"/>
      <c r="V90" s="64" t="s">
        <v>114</v>
      </c>
      <c r="W90" s="65"/>
      <c r="X90" s="64" t="s">
        <v>201</v>
      </c>
      <c r="Y90" s="65"/>
      <c r="Z90" s="46" t="s">
        <v>202</v>
      </c>
      <c r="AA90" s="47"/>
    </row>
    <row r="91" spans="2:28" s="7" customFormat="1" ht="10" customHeight="1" x14ac:dyDescent="0.35">
      <c r="B91"/>
      <c r="C91" s="7" t="s">
        <v>73</v>
      </c>
      <c r="J91" s="54" t="s">
        <v>5</v>
      </c>
      <c r="K91" s="23"/>
      <c r="L91" s="23"/>
      <c r="M91" s="23"/>
      <c r="N91" s="23"/>
      <c r="O91" s="34"/>
      <c r="R91" s="54" t="s">
        <v>165</v>
      </c>
      <c r="S91" s="34"/>
      <c r="T91" s="54" t="s">
        <v>8</v>
      </c>
      <c r="U91" s="23"/>
      <c r="V91" s="23"/>
      <c r="W91" s="23"/>
      <c r="X91" s="23"/>
      <c r="Y91" s="23"/>
      <c r="Z91" s="34"/>
      <c r="AB91" s="7">
        <v>4.5</v>
      </c>
    </row>
    <row r="92" spans="2:28" s="7" customFormat="1" ht="10" customHeight="1" x14ac:dyDescent="0.35">
      <c r="B92"/>
      <c r="J92" s="55" t="s">
        <v>142</v>
      </c>
      <c r="K92" s="18"/>
      <c r="L92" s="18"/>
      <c r="M92" s="18"/>
      <c r="N92" s="18"/>
      <c r="O92" s="35"/>
      <c r="R92" s="55" t="s">
        <v>183</v>
      </c>
      <c r="S92" s="35"/>
      <c r="T92" s="55" t="s">
        <v>143</v>
      </c>
      <c r="U92" s="18"/>
      <c r="V92" s="18"/>
      <c r="W92" s="18"/>
      <c r="X92" s="18"/>
      <c r="Y92" s="18"/>
      <c r="Z92" s="35"/>
    </row>
    <row r="93" spans="2:28" s="7" customFormat="1" ht="10" customHeight="1" x14ac:dyDescent="0.35">
      <c r="B93"/>
      <c r="J93" s="55" t="s">
        <v>73</v>
      </c>
      <c r="K93" s="18"/>
      <c r="L93" s="18"/>
      <c r="M93" s="18"/>
      <c r="N93" s="18"/>
      <c r="O93" s="35"/>
      <c r="R93" s="55" t="s">
        <v>73</v>
      </c>
      <c r="S93" s="35"/>
      <c r="T93" s="55" t="s">
        <v>73</v>
      </c>
      <c r="U93" s="18"/>
      <c r="V93" s="18"/>
      <c r="W93" s="18"/>
      <c r="X93" s="18"/>
      <c r="Y93" s="18"/>
      <c r="Z93" s="35"/>
    </row>
    <row r="94" spans="2:28" s="7" customFormat="1" ht="10" customHeight="1" x14ac:dyDescent="0.35">
      <c r="B94"/>
      <c r="J94" s="55" t="s">
        <v>72</v>
      </c>
      <c r="K94" s="18"/>
      <c r="L94" s="18"/>
      <c r="M94" s="18"/>
      <c r="N94" s="18"/>
      <c r="O94" s="35"/>
      <c r="R94" s="55" t="s">
        <v>83</v>
      </c>
      <c r="S94" s="35"/>
      <c r="T94" s="55"/>
      <c r="U94" s="18"/>
      <c r="V94" s="18"/>
      <c r="W94" s="18"/>
      <c r="X94" s="18"/>
      <c r="Y94" s="18"/>
      <c r="Z94" s="35"/>
    </row>
    <row r="95" spans="2:28" s="7" customFormat="1" ht="10" customHeight="1" thickBot="1" x14ac:dyDescent="0.4">
      <c r="B95"/>
      <c r="J95" s="55" t="s">
        <v>81</v>
      </c>
      <c r="K95" s="18"/>
      <c r="L95" s="18"/>
      <c r="M95" s="18"/>
      <c r="N95" s="18"/>
      <c r="O95" s="35"/>
      <c r="R95" s="55" t="s">
        <v>77</v>
      </c>
      <c r="S95" s="35"/>
      <c r="T95" s="56" t="s">
        <v>8</v>
      </c>
      <c r="U95" s="19"/>
      <c r="V95" s="19"/>
      <c r="W95" s="19"/>
      <c r="X95" s="19"/>
      <c r="Y95" s="19"/>
      <c r="Z95" s="36"/>
    </row>
    <row r="96" spans="2:28" s="7" customFormat="1" ht="10" customHeight="1" x14ac:dyDescent="0.35">
      <c r="B96"/>
      <c r="J96" s="55" t="s">
        <v>157</v>
      </c>
      <c r="K96" s="18"/>
      <c r="L96" s="18"/>
      <c r="M96" s="18"/>
      <c r="N96" s="18"/>
      <c r="O96" s="35"/>
      <c r="R96" s="55" t="s">
        <v>157</v>
      </c>
      <c r="S96" s="35"/>
    </row>
    <row r="97" spans="2:28" s="7" customFormat="1" ht="10" customHeight="1" x14ac:dyDescent="0.35">
      <c r="B97"/>
      <c r="J97" s="55"/>
      <c r="K97" s="18"/>
      <c r="L97" s="18"/>
      <c r="M97" s="18"/>
      <c r="N97" s="18"/>
      <c r="O97" s="35"/>
      <c r="R97" s="55" t="s">
        <v>71</v>
      </c>
      <c r="S97" s="35"/>
    </row>
    <row r="98" spans="2:28" s="7" customFormat="1" ht="10" customHeight="1" x14ac:dyDescent="0.35">
      <c r="B98"/>
      <c r="J98" s="76" t="s">
        <v>148</v>
      </c>
      <c r="K98" s="18"/>
      <c r="L98" s="18"/>
      <c r="M98" s="18"/>
      <c r="N98" s="18"/>
      <c r="O98" s="35"/>
      <c r="R98" s="55"/>
      <c r="S98" s="35"/>
    </row>
    <row r="99" spans="2:28" s="7" customFormat="1" ht="10" customHeight="1" x14ac:dyDescent="0.35">
      <c r="B99"/>
      <c r="J99" s="55" t="s">
        <v>2</v>
      </c>
      <c r="K99" s="18"/>
      <c r="L99" s="18"/>
      <c r="M99" s="18"/>
      <c r="N99" s="18"/>
      <c r="O99" s="35"/>
      <c r="R99" s="55" t="s">
        <v>150</v>
      </c>
      <c r="S99" s="35"/>
    </row>
    <row r="100" spans="2:28" s="7" customFormat="1" ht="10" customHeight="1" x14ac:dyDescent="0.35">
      <c r="B100"/>
      <c r="J100" s="55" t="s">
        <v>146</v>
      </c>
      <c r="K100" s="18"/>
      <c r="L100" s="18"/>
      <c r="M100" s="18"/>
      <c r="N100" s="18"/>
      <c r="O100" s="35"/>
      <c r="R100" s="55" t="s">
        <v>3</v>
      </c>
      <c r="S100" s="35"/>
    </row>
    <row r="101" spans="2:28" s="7" customFormat="1" ht="10" customHeight="1" thickBot="1" x14ac:dyDescent="0.4">
      <c r="B101"/>
      <c r="J101" s="56" t="s">
        <v>150</v>
      </c>
      <c r="K101" s="19"/>
      <c r="L101" s="19"/>
      <c r="M101" s="19"/>
      <c r="N101" s="19"/>
      <c r="O101" s="36"/>
      <c r="R101" s="55" t="s">
        <v>4</v>
      </c>
      <c r="S101" s="35"/>
    </row>
    <row r="102" spans="2:28" s="7" customFormat="1" ht="10" customHeight="1" x14ac:dyDescent="0.35">
      <c r="B102"/>
      <c r="R102" s="55" t="s">
        <v>1</v>
      </c>
      <c r="S102" s="35"/>
    </row>
    <row r="103" spans="2:28" s="7" customFormat="1" ht="10" customHeight="1" x14ac:dyDescent="0.35">
      <c r="B103"/>
      <c r="R103" s="55" t="s">
        <v>147</v>
      </c>
      <c r="S103" s="35"/>
    </row>
    <row r="104" spans="2:28" s="7" customFormat="1" ht="10" customHeight="1" x14ac:dyDescent="0.35">
      <c r="B104"/>
      <c r="R104" s="55" t="s">
        <v>10</v>
      </c>
      <c r="S104" s="35"/>
    </row>
    <row r="105" spans="2:28" s="7" customFormat="1" ht="10" customHeight="1" x14ac:dyDescent="0.35">
      <c r="B105"/>
      <c r="R105" s="55" t="s">
        <v>6</v>
      </c>
      <c r="S105" s="35"/>
    </row>
    <row r="106" spans="2:28" s="7" customFormat="1" ht="10" customHeight="1" x14ac:dyDescent="0.35">
      <c r="B106"/>
      <c r="R106" s="55" t="s">
        <v>8</v>
      </c>
      <c r="S106" s="35"/>
    </row>
    <row r="107" spans="2:28" s="7" customFormat="1" ht="10" customHeight="1" thickBot="1" x14ac:dyDescent="0.4">
      <c r="B107"/>
      <c r="R107" s="56" t="s">
        <v>11</v>
      </c>
      <c r="S107" s="36"/>
    </row>
    <row r="108" spans="2:28" s="7" customFormat="1" ht="10" customHeight="1" x14ac:dyDescent="0.35">
      <c r="B108"/>
    </row>
    <row r="109" spans="2:28" s="7" customFormat="1" ht="10" customHeight="1" thickBot="1" x14ac:dyDescent="0.4">
      <c r="B109"/>
      <c r="D109" s="44">
        <v>0.375</v>
      </c>
      <c r="E109" s="44">
        <v>0.38541666666666669</v>
      </c>
      <c r="F109" s="44">
        <v>0.39583333333333298</v>
      </c>
      <c r="G109" s="44">
        <v>0.40625</v>
      </c>
      <c r="H109" s="44">
        <v>0.41666666666666702</v>
      </c>
      <c r="I109" s="44">
        <v>0.4236111111111111</v>
      </c>
      <c r="J109" s="44">
        <v>0.43055555555555558</v>
      </c>
      <c r="K109" s="44">
        <v>0.4375</v>
      </c>
      <c r="L109" s="44">
        <v>0.44444444444444442</v>
      </c>
      <c r="M109" s="44">
        <v>0.45833333333333331</v>
      </c>
      <c r="N109" s="44">
        <v>0.47222222222222227</v>
      </c>
      <c r="O109" s="44">
        <v>0.4861111111111111</v>
      </c>
      <c r="P109" s="44">
        <v>0.5</v>
      </c>
      <c r="Q109" s="44">
        <v>0.51041666666666663</v>
      </c>
      <c r="R109" s="44">
        <v>0.52083333333333337</v>
      </c>
      <c r="S109" s="44">
        <v>0.53125</v>
      </c>
      <c r="T109" s="44">
        <v>0.54166666666666663</v>
      </c>
      <c r="U109" s="44">
        <v>0.55555555555555558</v>
      </c>
      <c r="V109" s="44">
        <v>0.56944444444444442</v>
      </c>
      <c r="W109" s="44">
        <v>0.58333333333333337</v>
      </c>
      <c r="X109" s="44">
        <v>0.59722222222222221</v>
      </c>
      <c r="Y109" s="44">
        <v>0.61111111111111105</v>
      </c>
      <c r="Z109" s="44">
        <v>0.625</v>
      </c>
      <c r="AA109" s="44">
        <v>0.63888888888888895</v>
      </c>
    </row>
    <row r="110" spans="2:28" s="7" customFormat="1" ht="10" customHeight="1" thickBot="1" x14ac:dyDescent="0.4">
      <c r="B110"/>
      <c r="D110" s="66" t="s">
        <v>155</v>
      </c>
      <c r="E110" s="68"/>
      <c r="F110" s="66" t="s">
        <v>200</v>
      </c>
      <c r="G110" s="68"/>
      <c r="H110" s="66" t="s">
        <v>78</v>
      </c>
      <c r="I110" s="68"/>
      <c r="J110" s="64" t="s">
        <v>109</v>
      </c>
      <c r="K110" s="67"/>
      <c r="L110" s="65"/>
      <c r="M110" s="64" t="s">
        <v>110</v>
      </c>
      <c r="N110" s="67"/>
      <c r="O110" s="65"/>
      <c r="P110" s="66" t="s">
        <v>112</v>
      </c>
      <c r="Q110" s="68"/>
      <c r="R110" s="66" t="s">
        <v>113</v>
      </c>
      <c r="S110" s="67"/>
      <c r="T110" s="64" t="s">
        <v>111</v>
      </c>
      <c r="U110" s="65"/>
      <c r="V110" s="64" t="s">
        <v>114</v>
      </c>
      <c r="W110" s="65"/>
      <c r="X110" s="64" t="s">
        <v>201</v>
      </c>
      <c r="Y110" s="65"/>
      <c r="Z110" s="46" t="s">
        <v>202</v>
      </c>
      <c r="AA110" s="47"/>
    </row>
    <row r="111" spans="2:28" s="7" customFormat="1" ht="10" customHeight="1" x14ac:dyDescent="0.35">
      <c r="B111"/>
      <c r="C111" s="7" t="s">
        <v>77</v>
      </c>
      <c r="J111" s="54" t="s">
        <v>7</v>
      </c>
      <c r="K111" s="23"/>
      <c r="L111" s="34"/>
      <c r="R111" s="54" t="s">
        <v>165</v>
      </c>
      <c r="S111" s="34"/>
      <c r="AB111" s="7">
        <v>1.1700000762939453</v>
      </c>
    </row>
    <row r="112" spans="2:28" s="7" customFormat="1" ht="10" customHeight="1" x14ac:dyDescent="0.35">
      <c r="B112"/>
      <c r="J112" s="55" t="s">
        <v>143</v>
      </c>
      <c r="K112" s="18"/>
      <c r="L112" s="35"/>
      <c r="R112" s="55" t="s">
        <v>183</v>
      </c>
      <c r="S112" s="35"/>
    </row>
    <row r="113" spans="2:19" s="7" customFormat="1" ht="10" customHeight="1" x14ac:dyDescent="0.35">
      <c r="B113"/>
      <c r="J113" s="55" t="s">
        <v>79</v>
      </c>
      <c r="K113" s="18"/>
      <c r="L113" s="35"/>
      <c r="R113" s="55" t="s">
        <v>73</v>
      </c>
      <c r="S113" s="35"/>
    </row>
    <row r="114" spans="2:19" s="7" customFormat="1" ht="10" customHeight="1" x14ac:dyDescent="0.35">
      <c r="B114"/>
      <c r="J114" s="55" t="s">
        <v>77</v>
      </c>
      <c r="K114" s="18"/>
      <c r="L114" s="35"/>
      <c r="R114" s="55" t="s">
        <v>83</v>
      </c>
      <c r="S114" s="35"/>
    </row>
    <row r="115" spans="2:19" s="7" customFormat="1" ht="10" customHeight="1" x14ac:dyDescent="0.35">
      <c r="B115"/>
      <c r="J115" s="55" t="s">
        <v>70</v>
      </c>
      <c r="K115" s="18"/>
      <c r="L115" s="35"/>
      <c r="R115" s="55" t="s">
        <v>77</v>
      </c>
      <c r="S115" s="35"/>
    </row>
    <row r="116" spans="2:19" s="7" customFormat="1" ht="10" customHeight="1" x14ac:dyDescent="0.35">
      <c r="B116"/>
      <c r="J116" s="55" t="s">
        <v>80</v>
      </c>
      <c r="K116" s="18"/>
      <c r="L116" s="35"/>
      <c r="R116" s="55" t="s">
        <v>157</v>
      </c>
      <c r="S116" s="35"/>
    </row>
    <row r="117" spans="2:19" s="7" customFormat="1" ht="10" customHeight="1" x14ac:dyDescent="0.35">
      <c r="B117"/>
      <c r="J117" s="55"/>
      <c r="K117" s="18"/>
      <c r="L117" s="35"/>
      <c r="R117" s="55" t="s">
        <v>71</v>
      </c>
      <c r="S117" s="35"/>
    </row>
    <row r="118" spans="2:19" s="7" customFormat="1" ht="10" customHeight="1" x14ac:dyDescent="0.35">
      <c r="B118"/>
      <c r="J118" s="55" t="s">
        <v>10</v>
      </c>
      <c r="K118" s="18"/>
      <c r="L118" s="35"/>
      <c r="R118" s="55"/>
      <c r="S118" s="35"/>
    </row>
    <row r="119" spans="2:19" s="7" customFormat="1" ht="10" customHeight="1" x14ac:dyDescent="0.35">
      <c r="B119"/>
      <c r="J119" s="55" t="s">
        <v>153</v>
      </c>
      <c r="K119" s="18"/>
      <c r="L119" s="35"/>
      <c r="R119" s="55" t="s">
        <v>150</v>
      </c>
      <c r="S119" s="35"/>
    </row>
    <row r="120" spans="2:19" s="7" customFormat="1" ht="10" customHeight="1" x14ac:dyDescent="0.35">
      <c r="B120"/>
      <c r="J120" s="55" t="s">
        <v>6</v>
      </c>
      <c r="K120" s="18"/>
      <c r="L120" s="35"/>
      <c r="R120" s="55" t="s">
        <v>3</v>
      </c>
      <c r="S120" s="35"/>
    </row>
    <row r="121" spans="2:19" s="7" customFormat="1" ht="10" customHeight="1" x14ac:dyDescent="0.35">
      <c r="B121"/>
      <c r="J121" s="55" t="s">
        <v>8</v>
      </c>
      <c r="K121" s="18"/>
      <c r="L121" s="35"/>
      <c r="R121" s="55" t="s">
        <v>4</v>
      </c>
      <c r="S121" s="35"/>
    </row>
    <row r="122" spans="2:19" s="7" customFormat="1" ht="10" customHeight="1" thickBot="1" x14ac:dyDescent="0.4">
      <c r="B122"/>
      <c r="J122" s="56" t="s">
        <v>11</v>
      </c>
      <c r="K122" s="19"/>
      <c r="L122" s="36"/>
      <c r="R122" s="55" t="s">
        <v>1</v>
      </c>
      <c r="S122" s="35"/>
    </row>
    <row r="123" spans="2:19" s="7" customFormat="1" ht="10" customHeight="1" x14ac:dyDescent="0.35">
      <c r="B123"/>
      <c r="R123" s="55" t="s">
        <v>147</v>
      </c>
      <c r="S123" s="35"/>
    </row>
    <row r="124" spans="2:19" s="7" customFormat="1" ht="10" customHeight="1" x14ac:dyDescent="0.35">
      <c r="B124"/>
      <c r="R124" s="55" t="s">
        <v>10</v>
      </c>
      <c r="S124" s="35"/>
    </row>
    <row r="125" spans="2:19" s="7" customFormat="1" ht="10" customHeight="1" x14ac:dyDescent="0.35">
      <c r="B125"/>
      <c r="R125" s="55" t="s">
        <v>6</v>
      </c>
      <c r="S125" s="35"/>
    </row>
    <row r="126" spans="2:19" s="7" customFormat="1" ht="10" customHeight="1" x14ac:dyDescent="0.35">
      <c r="B126"/>
      <c r="R126" s="55" t="s">
        <v>8</v>
      </c>
      <c r="S126" s="35"/>
    </row>
    <row r="127" spans="2:19" s="7" customFormat="1" ht="10" customHeight="1" thickBot="1" x14ac:dyDescent="0.4">
      <c r="B127"/>
      <c r="R127" s="56" t="s">
        <v>11</v>
      </c>
      <c r="S127" s="36"/>
    </row>
    <row r="128" spans="2:19" s="7" customFormat="1" ht="10" customHeight="1" x14ac:dyDescent="0.35">
      <c r="B128"/>
    </row>
    <row r="129" spans="2:28" s="7" customFormat="1" ht="10" customHeight="1" thickBot="1" x14ac:dyDescent="0.4">
      <c r="B129"/>
      <c r="D129" s="44">
        <v>0.375</v>
      </c>
      <c r="E129" s="44">
        <v>0.38541666666666669</v>
      </c>
      <c r="F129" s="44">
        <v>0.39583333333333298</v>
      </c>
      <c r="G129" s="44">
        <v>0.40625</v>
      </c>
      <c r="H129" s="44">
        <v>0.41666666666666702</v>
      </c>
      <c r="I129" s="44">
        <v>0.4236111111111111</v>
      </c>
      <c r="J129" s="44">
        <v>0.43055555555555558</v>
      </c>
      <c r="K129" s="44">
        <v>0.4375</v>
      </c>
      <c r="L129" s="44">
        <v>0.44444444444444442</v>
      </c>
      <c r="M129" s="44">
        <v>0.45833333333333331</v>
      </c>
      <c r="N129" s="44">
        <v>0.47222222222222227</v>
      </c>
      <c r="O129" s="44">
        <v>0.4861111111111111</v>
      </c>
      <c r="P129" s="44">
        <v>0.5</v>
      </c>
      <c r="Q129" s="44">
        <v>0.51041666666666663</v>
      </c>
      <c r="R129" s="44">
        <v>0.52083333333333337</v>
      </c>
      <c r="S129" s="44">
        <v>0.53125</v>
      </c>
      <c r="T129" s="44">
        <v>0.54166666666666663</v>
      </c>
      <c r="U129" s="44">
        <v>0.55555555555555558</v>
      </c>
      <c r="V129" s="44">
        <v>0.56944444444444442</v>
      </c>
      <c r="W129" s="44">
        <v>0.58333333333333337</v>
      </c>
      <c r="X129" s="44">
        <v>0.59722222222222221</v>
      </c>
      <c r="Y129" s="44">
        <v>0.61111111111111105</v>
      </c>
      <c r="Z129" s="44">
        <v>0.625</v>
      </c>
      <c r="AA129" s="44">
        <v>0.63888888888888895</v>
      </c>
    </row>
    <row r="130" spans="2:28" s="7" customFormat="1" ht="10" customHeight="1" thickBot="1" x14ac:dyDescent="0.4">
      <c r="B130"/>
      <c r="D130" s="66" t="s">
        <v>155</v>
      </c>
      <c r="E130" s="68"/>
      <c r="F130" s="66" t="s">
        <v>200</v>
      </c>
      <c r="G130" s="68"/>
      <c r="H130" s="66" t="s">
        <v>78</v>
      </c>
      <c r="I130" s="68"/>
      <c r="J130" s="64" t="s">
        <v>109</v>
      </c>
      <c r="K130" s="67"/>
      <c r="L130" s="65"/>
      <c r="M130" s="64" t="s">
        <v>110</v>
      </c>
      <c r="N130" s="67"/>
      <c r="O130" s="65"/>
      <c r="P130" s="66" t="s">
        <v>112</v>
      </c>
      <c r="Q130" s="68"/>
      <c r="R130" s="66" t="s">
        <v>113</v>
      </c>
      <c r="S130" s="67"/>
      <c r="T130" s="64" t="s">
        <v>111</v>
      </c>
      <c r="U130" s="65"/>
      <c r="V130" s="64" t="s">
        <v>114</v>
      </c>
      <c r="W130" s="65"/>
      <c r="X130" s="64" t="s">
        <v>201</v>
      </c>
      <c r="Y130" s="65"/>
      <c r="Z130" s="46" t="s">
        <v>202</v>
      </c>
      <c r="AA130" s="47"/>
    </row>
    <row r="131" spans="2:28" s="7" customFormat="1" ht="10" customHeight="1" x14ac:dyDescent="0.35">
      <c r="B131"/>
      <c r="C131" s="7" t="s">
        <v>120</v>
      </c>
      <c r="AB131" s="7">
        <v>0</v>
      </c>
    </row>
    <row r="132" spans="2:28" s="7" customFormat="1" ht="10" customHeight="1" thickBot="1" x14ac:dyDescent="0.4">
      <c r="B132"/>
      <c r="D132" s="44">
        <v>0.375</v>
      </c>
      <c r="E132" s="44">
        <v>0.38541666666666669</v>
      </c>
      <c r="F132" s="44">
        <v>0.39583333333333298</v>
      </c>
      <c r="G132" s="44">
        <v>0.40625</v>
      </c>
      <c r="H132" s="44">
        <v>0.41666666666666702</v>
      </c>
      <c r="I132" s="44">
        <v>0.4236111111111111</v>
      </c>
      <c r="J132" s="44">
        <v>0.43055555555555558</v>
      </c>
      <c r="K132" s="44">
        <v>0.4375</v>
      </c>
      <c r="L132" s="44">
        <v>0.44444444444444442</v>
      </c>
      <c r="M132" s="44">
        <v>0.45833333333333331</v>
      </c>
      <c r="N132" s="44">
        <v>0.47222222222222227</v>
      </c>
      <c r="O132" s="44">
        <v>0.4861111111111111</v>
      </c>
      <c r="P132" s="44">
        <v>0.5</v>
      </c>
      <c r="Q132" s="44">
        <v>0.51041666666666663</v>
      </c>
      <c r="R132" s="44">
        <v>0.52083333333333337</v>
      </c>
      <c r="S132" s="44">
        <v>0.53125</v>
      </c>
      <c r="T132" s="44">
        <v>0.54166666666666663</v>
      </c>
      <c r="U132" s="44">
        <v>0.55555555555555558</v>
      </c>
      <c r="V132" s="44">
        <v>0.56944444444444442</v>
      </c>
      <c r="W132" s="44">
        <v>0.58333333333333337</v>
      </c>
      <c r="X132" s="44">
        <v>0.59722222222222221</v>
      </c>
      <c r="Y132" s="44">
        <v>0.61111111111111105</v>
      </c>
      <c r="Z132" s="44">
        <v>0.625</v>
      </c>
      <c r="AA132" s="44">
        <v>0.63888888888888895</v>
      </c>
    </row>
    <row r="133" spans="2:28" s="7" customFormat="1" ht="10" customHeight="1" thickBot="1" x14ac:dyDescent="0.4">
      <c r="B133"/>
      <c r="D133" s="66" t="s">
        <v>155</v>
      </c>
      <c r="E133" s="68"/>
      <c r="F133" s="66" t="s">
        <v>200</v>
      </c>
      <c r="G133" s="68"/>
      <c r="H133" s="66" t="s">
        <v>78</v>
      </c>
      <c r="I133" s="68"/>
      <c r="J133" s="64" t="s">
        <v>109</v>
      </c>
      <c r="K133" s="67"/>
      <c r="L133" s="65"/>
      <c r="M133" s="64" t="s">
        <v>110</v>
      </c>
      <c r="N133" s="67"/>
      <c r="O133" s="65"/>
      <c r="P133" s="66" t="s">
        <v>112</v>
      </c>
      <c r="Q133" s="68"/>
      <c r="R133" s="66" t="s">
        <v>113</v>
      </c>
      <c r="S133" s="67"/>
      <c r="T133" s="64" t="s">
        <v>111</v>
      </c>
      <c r="U133" s="65"/>
      <c r="V133" s="64" t="s">
        <v>114</v>
      </c>
      <c r="W133" s="65"/>
      <c r="X133" s="64" t="s">
        <v>201</v>
      </c>
      <c r="Y133" s="65"/>
      <c r="Z133" s="46" t="s">
        <v>202</v>
      </c>
      <c r="AA133" s="47"/>
    </row>
    <row r="134" spans="2:28" s="7" customFormat="1" ht="10" customHeight="1" x14ac:dyDescent="0.35">
      <c r="B134"/>
      <c r="C134" s="7" t="s">
        <v>74</v>
      </c>
      <c r="T134" s="54" t="s">
        <v>167</v>
      </c>
      <c r="U134" s="23"/>
      <c r="V134" s="23"/>
      <c r="W134" s="23"/>
      <c r="X134" s="23"/>
      <c r="Y134" s="23"/>
      <c r="Z134" s="34"/>
      <c r="AB134" s="7">
        <v>2.3299999237060547</v>
      </c>
    </row>
    <row r="135" spans="2:28" s="7" customFormat="1" ht="10" customHeight="1" x14ac:dyDescent="0.35">
      <c r="B135"/>
      <c r="T135" s="55" t="s">
        <v>145</v>
      </c>
      <c r="U135" s="18"/>
      <c r="V135" s="18"/>
      <c r="W135" s="18"/>
      <c r="X135" s="18"/>
      <c r="Y135" s="18"/>
      <c r="Z135" s="35"/>
    </row>
    <row r="136" spans="2:28" s="7" customFormat="1" ht="10" customHeight="1" x14ac:dyDescent="0.35">
      <c r="B136"/>
      <c r="T136" s="55" t="s">
        <v>74</v>
      </c>
      <c r="U136" s="18"/>
      <c r="V136" s="18"/>
      <c r="W136" s="18"/>
      <c r="X136" s="18"/>
      <c r="Y136" s="18"/>
      <c r="Z136" s="35"/>
    </row>
    <row r="137" spans="2:28" s="7" customFormat="1" ht="10" customHeight="1" x14ac:dyDescent="0.35">
      <c r="B137"/>
      <c r="T137" s="55"/>
      <c r="U137" s="18"/>
      <c r="V137" s="18"/>
      <c r="W137" s="18"/>
      <c r="X137" s="18"/>
      <c r="Y137" s="18"/>
      <c r="Z137" s="35"/>
    </row>
    <row r="138" spans="2:28" s="7" customFormat="1" ht="10" customHeight="1" thickBot="1" x14ac:dyDescent="0.4">
      <c r="B138"/>
      <c r="T138" s="56" t="s">
        <v>149</v>
      </c>
      <c r="U138" s="19"/>
      <c r="V138" s="19"/>
      <c r="W138" s="19"/>
      <c r="X138" s="19"/>
      <c r="Y138" s="19"/>
      <c r="Z138" s="36"/>
    </row>
    <row r="139" spans="2:28" s="7" customFormat="1" ht="10" customHeight="1" x14ac:dyDescent="0.35">
      <c r="B139"/>
    </row>
    <row r="140" spans="2:28" s="7" customFormat="1" ht="10" customHeight="1" thickBot="1" x14ac:dyDescent="0.4">
      <c r="B140"/>
      <c r="D140" s="44">
        <v>0.375</v>
      </c>
      <c r="E140" s="44">
        <v>0.38541666666666669</v>
      </c>
      <c r="F140" s="44">
        <v>0.39583333333333298</v>
      </c>
      <c r="G140" s="44">
        <v>0.40625</v>
      </c>
      <c r="H140" s="44">
        <v>0.41666666666666702</v>
      </c>
      <c r="I140" s="44">
        <v>0.4236111111111111</v>
      </c>
      <c r="J140" s="44">
        <v>0.43055555555555558</v>
      </c>
      <c r="K140" s="44">
        <v>0.4375</v>
      </c>
      <c r="L140" s="44">
        <v>0.44444444444444442</v>
      </c>
      <c r="M140" s="44">
        <v>0.45833333333333331</v>
      </c>
      <c r="N140" s="44">
        <v>0.47222222222222227</v>
      </c>
      <c r="O140" s="44">
        <v>0.4861111111111111</v>
      </c>
      <c r="P140" s="44">
        <v>0.5</v>
      </c>
      <c r="Q140" s="44">
        <v>0.51041666666666663</v>
      </c>
      <c r="R140" s="44">
        <v>0.52083333333333337</v>
      </c>
      <c r="S140" s="44">
        <v>0.53125</v>
      </c>
      <c r="T140" s="44">
        <v>0.54166666666666663</v>
      </c>
      <c r="U140" s="44">
        <v>0.55555555555555558</v>
      </c>
      <c r="V140" s="44">
        <v>0.56944444444444442</v>
      </c>
      <c r="W140" s="44">
        <v>0.58333333333333337</v>
      </c>
      <c r="X140" s="44">
        <v>0.59722222222222221</v>
      </c>
      <c r="Y140" s="44">
        <v>0.61111111111111105</v>
      </c>
      <c r="Z140" s="44">
        <v>0.625</v>
      </c>
      <c r="AA140" s="44">
        <v>0.63888888888888895</v>
      </c>
    </row>
    <row r="141" spans="2:28" s="7" customFormat="1" ht="10" customHeight="1" thickBot="1" x14ac:dyDescent="0.4">
      <c r="B141"/>
      <c r="D141" s="66" t="s">
        <v>155</v>
      </c>
      <c r="E141" s="68"/>
      <c r="F141" s="66" t="s">
        <v>200</v>
      </c>
      <c r="G141" s="68"/>
      <c r="H141" s="66" t="s">
        <v>78</v>
      </c>
      <c r="I141" s="68"/>
      <c r="J141" s="64" t="s">
        <v>109</v>
      </c>
      <c r="K141" s="67"/>
      <c r="L141" s="65"/>
      <c r="M141" s="64" t="s">
        <v>110</v>
      </c>
      <c r="N141" s="67"/>
      <c r="O141" s="65"/>
      <c r="P141" s="66" t="s">
        <v>112</v>
      </c>
      <c r="Q141" s="68"/>
      <c r="R141" s="66" t="s">
        <v>113</v>
      </c>
      <c r="S141" s="67"/>
      <c r="T141" s="64" t="s">
        <v>111</v>
      </c>
      <c r="U141" s="65"/>
      <c r="V141" s="64" t="s">
        <v>114</v>
      </c>
      <c r="W141" s="65"/>
      <c r="X141" s="64" t="s">
        <v>201</v>
      </c>
      <c r="Y141" s="65"/>
      <c r="Z141" s="46" t="s">
        <v>202</v>
      </c>
      <c r="AA141" s="47"/>
    </row>
    <row r="142" spans="2:28" s="7" customFormat="1" ht="10" customHeight="1" x14ac:dyDescent="0.35">
      <c r="B142"/>
      <c r="C142" s="7" t="s">
        <v>76</v>
      </c>
      <c r="AB142" s="7">
        <v>0</v>
      </c>
    </row>
    <row r="143" spans="2:28" s="7" customFormat="1" ht="10" customHeight="1" thickBot="1" x14ac:dyDescent="0.4">
      <c r="B143"/>
      <c r="D143" s="44">
        <v>0.375</v>
      </c>
      <c r="E143" s="44">
        <v>0.38541666666666669</v>
      </c>
      <c r="F143" s="44">
        <v>0.39583333333333298</v>
      </c>
      <c r="G143" s="44">
        <v>0.40625</v>
      </c>
      <c r="H143" s="44">
        <v>0.41666666666666702</v>
      </c>
      <c r="I143" s="44">
        <v>0.4236111111111111</v>
      </c>
      <c r="J143" s="44">
        <v>0.43055555555555558</v>
      </c>
      <c r="K143" s="44">
        <v>0.4375</v>
      </c>
      <c r="L143" s="44">
        <v>0.44444444444444442</v>
      </c>
      <c r="M143" s="44">
        <v>0.45833333333333331</v>
      </c>
      <c r="N143" s="44">
        <v>0.47222222222222227</v>
      </c>
      <c r="O143" s="44">
        <v>0.4861111111111111</v>
      </c>
      <c r="P143" s="44">
        <v>0.5</v>
      </c>
      <c r="Q143" s="44">
        <v>0.51041666666666663</v>
      </c>
      <c r="R143" s="44">
        <v>0.52083333333333337</v>
      </c>
      <c r="S143" s="44">
        <v>0.53125</v>
      </c>
      <c r="T143" s="44">
        <v>0.54166666666666663</v>
      </c>
      <c r="U143" s="44">
        <v>0.55555555555555558</v>
      </c>
      <c r="V143" s="44">
        <v>0.56944444444444442</v>
      </c>
      <c r="W143" s="44">
        <v>0.58333333333333337</v>
      </c>
      <c r="X143" s="44">
        <v>0.59722222222222221</v>
      </c>
      <c r="Y143" s="44">
        <v>0.61111111111111105</v>
      </c>
      <c r="Z143" s="44">
        <v>0.625</v>
      </c>
      <c r="AA143" s="44">
        <v>0.63888888888888895</v>
      </c>
    </row>
    <row r="144" spans="2:28" s="7" customFormat="1" ht="10" customHeight="1" thickBot="1" x14ac:dyDescent="0.4">
      <c r="B144"/>
      <c r="D144" s="66" t="s">
        <v>155</v>
      </c>
      <c r="E144" s="68"/>
      <c r="F144" s="66" t="s">
        <v>200</v>
      </c>
      <c r="G144" s="68"/>
      <c r="H144" s="66" t="s">
        <v>78</v>
      </c>
      <c r="I144" s="68"/>
      <c r="J144" s="64" t="s">
        <v>109</v>
      </c>
      <c r="K144" s="67"/>
      <c r="L144" s="65"/>
      <c r="M144" s="64" t="s">
        <v>110</v>
      </c>
      <c r="N144" s="67"/>
      <c r="O144" s="65"/>
      <c r="P144" s="66" t="s">
        <v>112</v>
      </c>
      <c r="Q144" s="68"/>
      <c r="R144" s="66" t="s">
        <v>113</v>
      </c>
      <c r="S144" s="67"/>
      <c r="T144" s="64" t="s">
        <v>111</v>
      </c>
      <c r="U144" s="65"/>
      <c r="V144" s="64" t="s">
        <v>114</v>
      </c>
      <c r="W144" s="65"/>
      <c r="X144" s="64" t="s">
        <v>201</v>
      </c>
      <c r="Y144" s="65"/>
      <c r="Z144" s="46" t="s">
        <v>202</v>
      </c>
      <c r="AA144" s="47"/>
    </row>
    <row r="145" spans="2:28" s="7" customFormat="1" ht="10" customHeight="1" x14ac:dyDescent="0.35">
      <c r="B145"/>
      <c r="C145" s="7" t="s">
        <v>119</v>
      </c>
      <c r="M145" s="54" t="s">
        <v>0</v>
      </c>
      <c r="N145" s="23"/>
      <c r="O145" s="34"/>
      <c r="AB145" s="7">
        <v>1</v>
      </c>
    </row>
    <row r="146" spans="2:28" s="7" customFormat="1" ht="10" customHeight="1" x14ac:dyDescent="0.35">
      <c r="B146"/>
      <c r="M146" s="55" t="s">
        <v>141</v>
      </c>
      <c r="N146" s="18"/>
      <c r="O146" s="35"/>
    </row>
    <row r="147" spans="2:28" s="7" customFormat="1" ht="10" customHeight="1" x14ac:dyDescent="0.35">
      <c r="B147"/>
      <c r="M147" s="55" t="s">
        <v>75</v>
      </c>
      <c r="N147" s="18"/>
      <c r="O147" s="35"/>
    </row>
    <row r="148" spans="2:28" s="7" customFormat="1" ht="10" customHeight="1" x14ac:dyDescent="0.35">
      <c r="B148"/>
      <c r="M148" s="55" t="s">
        <v>119</v>
      </c>
      <c r="N148" s="18"/>
      <c r="O148" s="35"/>
    </row>
    <row r="149" spans="2:28" s="7" customFormat="1" ht="10" customHeight="1" x14ac:dyDescent="0.35">
      <c r="B149"/>
      <c r="M149" s="55" t="s">
        <v>69</v>
      </c>
      <c r="N149" s="18"/>
      <c r="O149" s="35"/>
    </row>
    <row r="150" spans="2:28" s="7" customFormat="1" ht="10" customHeight="1" x14ac:dyDescent="0.35">
      <c r="B150"/>
      <c r="M150" s="55"/>
      <c r="N150" s="18"/>
      <c r="O150" s="35"/>
    </row>
    <row r="151" spans="2:28" s="7" customFormat="1" ht="10" customHeight="1" x14ac:dyDescent="0.35">
      <c r="B151"/>
      <c r="M151" s="55" t="s">
        <v>3</v>
      </c>
      <c r="N151" s="18"/>
      <c r="O151" s="35"/>
    </row>
    <row r="152" spans="2:28" s="7" customFormat="1" ht="10" customHeight="1" x14ac:dyDescent="0.35">
      <c r="B152"/>
      <c r="M152" s="55" t="s">
        <v>4</v>
      </c>
      <c r="N152" s="18"/>
      <c r="O152" s="35"/>
    </row>
    <row r="153" spans="2:28" s="7" customFormat="1" ht="10" customHeight="1" thickBot="1" x14ac:dyDescent="0.4">
      <c r="B153"/>
      <c r="M153" s="56" t="s">
        <v>147</v>
      </c>
      <c r="N153" s="19"/>
      <c r="O153" s="36"/>
    </row>
    <row r="154" spans="2:28" s="7" customFormat="1" ht="10" customHeight="1" x14ac:dyDescent="0.35">
      <c r="B154"/>
    </row>
    <row r="155" spans="2:28" s="7" customFormat="1" ht="10" customHeight="1" thickBot="1" x14ac:dyDescent="0.4">
      <c r="B155"/>
      <c r="D155" s="44">
        <v>0.375</v>
      </c>
      <c r="E155" s="44">
        <v>0.38541666666666669</v>
      </c>
      <c r="F155" s="44">
        <v>0.39583333333333298</v>
      </c>
      <c r="G155" s="44">
        <v>0.40625</v>
      </c>
      <c r="H155" s="44">
        <v>0.41666666666666702</v>
      </c>
      <c r="I155" s="44">
        <v>0.4236111111111111</v>
      </c>
      <c r="J155" s="44">
        <v>0.43055555555555558</v>
      </c>
      <c r="K155" s="44">
        <v>0.4375</v>
      </c>
      <c r="L155" s="44">
        <v>0.44444444444444442</v>
      </c>
      <c r="M155" s="44">
        <v>0.45833333333333331</v>
      </c>
      <c r="N155" s="44">
        <v>0.47222222222222227</v>
      </c>
      <c r="O155" s="44">
        <v>0.4861111111111111</v>
      </c>
      <c r="P155" s="44">
        <v>0.5</v>
      </c>
      <c r="Q155" s="44">
        <v>0.51041666666666663</v>
      </c>
      <c r="R155" s="44">
        <v>0.52083333333333337</v>
      </c>
      <c r="S155" s="44">
        <v>0.53125</v>
      </c>
      <c r="T155" s="44">
        <v>0.54166666666666663</v>
      </c>
      <c r="U155" s="44">
        <v>0.55555555555555558</v>
      </c>
      <c r="V155" s="44">
        <v>0.56944444444444442</v>
      </c>
      <c r="W155" s="44">
        <v>0.58333333333333337</v>
      </c>
      <c r="X155" s="44">
        <v>0.59722222222222221</v>
      </c>
      <c r="Y155" s="44">
        <v>0.61111111111111105</v>
      </c>
      <c r="Z155" s="44">
        <v>0.625</v>
      </c>
      <c r="AA155" s="44">
        <v>0.63888888888888895</v>
      </c>
    </row>
    <row r="156" spans="2:28" s="7" customFormat="1" ht="10" customHeight="1" thickBot="1" x14ac:dyDescent="0.4">
      <c r="B156"/>
      <c r="D156" s="66" t="s">
        <v>155</v>
      </c>
      <c r="E156" s="68"/>
      <c r="F156" s="66" t="s">
        <v>200</v>
      </c>
      <c r="G156" s="68"/>
      <c r="H156" s="66" t="s">
        <v>78</v>
      </c>
      <c r="I156" s="68"/>
      <c r="J156" s="64" t="s">
        <v>109</v>
      </c>
      <c r="K156" s="67"/>
      <c r="L156" s="65"/>
      <c r="M156" s="64" t="s">
        <v>110</v>
      </c>
      <c r="N156" s="67"/>
      <c r="O156" s="65"/>
      <c r="P156" s="66" t="s">
        <v>112</v>
      </c>
      <c r="Q156" s="68"/>
      <c r="R156" s="66" t="s">
        <v>113</v>
      </c>
      <c r="S156" s="67"/>
      <c r="T156" s="64" t="s">
        <v>111</v>
      </c>
      <c r="U156" s="65"/>
      <c r="V156" s="64" t="s">
        <v>114</v>
      </c>
      <c r="W156" s="65"/>
      <c r="X156" s="64" t="s">
        <v>201</v>
      </c>
      <c r="Y156" s="65"/>
      <c r="Z156" s="46" t="s">
        <v>202</v>
      </c>
      <c r="AA156" s="47"/>
    </row>
    <row r="157" spans="2:28" s="7" customFormat="1" ht="10" customHeight="1" x14ac:dyDescent="0.35">
      <c r="B157"/>
      <c r="C157" s="7" t="s">
        <v>69</v>
      </c>
      <c r="D157" s="54" t="s">
        <v>156</v>
      </c>
      <c r="E157" s="23"/>
      <c r="F157" s="72" t="s">
        <v>97</v>
      </c>
      <c r="G157" s="34"/>
      <c r="J157" s="54" t="s">
        <v>0</v>
      </c>
      <c r="K157" s="23"/>
      <c r="L157" s="34"/>
      <c r="M157" s="54" t="s">
        <v>0</v>
      </c>
      <c r="N157" s="23"/>
      <c r="O157" s="34"/>
      <c r="P157" s="54" t="s">
        <v>112</v>
      </c>
      <c r="Q157" s="34"/>
      <c r="T157" s="54" t="s">
        <v>0</v>
      </c>
      <c r="U157" s="23"/>
      <c r="V157" s="23"/>
      <c r="W157" s="23"/>
      <c r="X157" s="23"/>
      <c r="Y157" s="23"/>
      <c r="Z157" s="34"/>
      <c r="AB157" s="7">
        <v>5.5</v>
      </c>
    </row>
    <row r="158" spans="2:28" s="7" customFormat="1" ht="10" customHeight="1" x14ac:dyDescent="0.35">
      <c r="B158"/>
      <c r="D158" s="55" t="s">
        <v>141</v>
      </c>
      <c r="E158" s="18"/>
      <c r="F158" s="73" t="s">
        <v>141</v>
      </c>
      <c r="G158" s="35"/>
      <c r="J158" s="55" t="s">
        <v>141</v>
      </c>
      <c r="K158" s="18"/>
      <c r="L158" s="35"/>
      <c r="M158" s="55" t="s">
        <v>141</v>
      </c>
      <c r="N158" s="18"/>
      <c r="O158" s="35"/>
      <c r="P158" s="55" t="s">
        <v>182</v>
      </c>
      <c r="Q158" s="35"/>
      <c r="T158" s="55" t="s">
        <v>141</v>
      </c>
      <c r="U158" s="18"/>
      <c r="V158" s="18"/>
      <c r="W158" s="18"/>
      <c r="X158" s="18"/>
      <c r="Y158" s="18"/>
      <c r="Z158" s="35"/>
    </row>
    <row r="159" spans="2:28" s="7" customFormat="1" ht="10" customHeight="1" x14ac:dyDescent="0.35">
      <c r="B159"/>
      <c r="D159" s="55" t="s">
        <v>69</v>
      </c>
      <c r="E159" s="18"/>
      <c r="F159" s="73" t="s">
        <v>75</v>
      </c>
      <c r="G159" s="35"/>
      <c r="J159" s="55" t="s">
        <v>75</v>
      </c>
      <c r="K159" s="18"/>
      <c r="L159" s="35"/>
      <c r="M159" s="55" t="s">
        <v>75</v>
      </c>
      <c r="N159" s="18"/>
      <c r="O159" s="35"/>
      <c r="P159" s="55" t="s">
        <v>75</v>
      </c>
      <c r="Q159" s="35"/>
      <c r="T159" s="55" t="s">
        <v>75</v>
      </c>
      <c r="U159" s="18"/>
      <c r="V159" s="18"/>
      <c r="W159" s="18"/>
      <c r="X159" s="18"/>
      <c r="Y159" s="18"/>
      <c r="Z159" s="35"/>
    </row>
    <row r="160" spans="2:28" s="7" customFormat="1" ht="10" customHeight="1" x14ac:dyDescent="0.35">
      <c r="B160"/>
      <c r="D160" s="55" t="s">
        <v>185</v>
      </c>
      <c r="E160" s="18"/>
      <c r="F160" s="73" t="s">
        <v>71</v>
      </c>
      <c r="G160" s="35"/>
      <c r="J160" s="55" t="s">
        <v>69</v>
      </c>
      <c r="K160" s="18"/>
      <c r="L160" s="35"/>
      <c r="M160" s="55" t="s">
        <v>119</v>
      </c>
      <c r="N160" s="18"/>
      <c r="O160" s="35"/>
      <c r="P160" s="55" t="s">
        <v>79</v>
      </c>
      <c r="Q160" s="35"/>
      <c r="T160" s="55" t="s">
        <v>69</v>
      </c>
      <c r="U160" s="18"/>
      <c r="V160" s="18"/>
      <c r="W160" s="18"/>
      <c r="X160" s="18"/>
      <c r="Y160" s="18"/>
      <c r="Z160" s="35"/>
    </row>
    <row r="161" spans="2:26" s="7" customFormat="1" ht="10" customHeight="1" x14ac:dyDescent="0.35">
      <c r="B161"/>
      <c r="D161" s="55" t="s">
        <v>72</v>
      </c>
      <c r="E161" s="18"/>
      <c r="F161" s="73" t="s">
        <v>69</v>
      </c>
      <c r="G161" s="35"/>
      <c r="J161" s="55" t="s">
        <v>71</v>
      </c>
      <c r="K161" s="18"/>
      <c r="L161" s="35"/>
      <c r="M161" s="55" t="s">
        <v>69</v>
      </c>
      <c r="N161" s="18"/>
      <c r="O161" s="35"/>
      <c r="P161" s="55" t="s">
        <v>72</v>
      </c>
      <c r="Q161" s="35"/>
      <c r="T161" s="55" t="s">
        <v>71</v>
      </c>
      <c r="U161" s="18"/>
      <c r="V161" s="18"/>
      <c r="W161" s="18"/>
      <c r="X161" s="18"/>
      <c r="Y161" s="18"/>
      <c r="Z161" s="35"/>
    </row>
    <row r="162" spans="2:26" s="7" customFormat="1" ht="10" customHeight="1" x14ac:dyDescent="0.35">
      <c r="B162"/>
      <c r="D162" s="55"/>
      <c r="E162" s="18"/>
      <c r="F162" s="73" t="s">
        <v>99</v>
      </c>
      <c r="G162" s="35"/>
      <c r="J162" s="55"/>
      <c r="K162" s="18"/>
      <c r="L162" s="35"/>
      <c r="M162" s="55"/>
      <c r="N162" s="18"/>
      <c r="O162" s="35"/>
      <c r="P162" s="55" t="s">
        <v>69</v>
      </c>
      <c r="Q162" s="35"/>
      <c r="T162" s="55"/>
      <c r="U162" s="18"/>
      <c r="V162" s="18"/>
      <c r="W162" s="18"/>
      <c r="X162" s="18"/>
      <c r="Y162" s="18"/>
      <c r="Z162" s="35"/>
    </row>
    <row r="163" spans="2:26" s="7" customFormat="1" ht="10" customHeight="1" x14ac:dyDescent="0.35">
      <c r="B163"/>
      <c r="D163" s="76" t="s">
        <v>148</v>
      </c>
      <c r="E163" s="18"/>
      <c r="F163" s="73" t="s">
        <v>157</v>
      </c>
      <c r="G163" s="35"/>
      <c r="J163" s="55" t="s">
        <v>3</v>
      </c>
      <c r="K163" s="18"/>
      <c r="L163" s="35"/>
      <c r="M163" s="55" t="s">
        <v>3</v>
      </c>
      <c r="N163" s="18"/>
      <c r="O163" s="35"/>
      <c r="P163" s="55" t="s">
        <v>82</v>
      </c>
      <c r="Q163" s="35"/>
      <c r="T163" s="55" t="s">
        <v>3</v>
      </c>
      <c r="U163" s="18"/>
      <c r="V163" s="18"/>
      <c r="W163" s="18"/>
      <c r="X163" s="18"/>
      <c r="Y163" s="18"/>
      <c r="Z163" s="35"/>
    </row>
    <row r="164" spans="2:26" s="7" customFormat="1" ht="10" customHeight="1" x14ac:dyDescent="0.35">
      <c r="B164"/>
      <c r="D164" s="55" t="s">
        <v>2</v>
      </c>
      <c r="E164" s="18"/>
      <c r="F164" s="73"/>
      <c r="G164" s="35"/>
      <c r="J164" s="55" t="s">
        <v>4</v>
      </c>
      <c r="K164" s="18"/>
      <c r="L164" s="35"/>
      <c r="M164" s="55" t="s">
        <v>4</v>
      </c>
      <c r="N164" s="18"/>
      <c r="O164" s="35"/>
      <c r="P164" s="55"/>
      <c r="Q164" s="35"/>
      <c r="T164" s="55" t="s">
        <v>4</v>
      </c>
      <c r="U164" s="18"/>
      <c r="V164" s="18"/>
      <c r="W164" s="18"/>
      <c r="X164" s="18"/>
      <c r="Y164" s="18"/>
      <c r="Z164" s="35"/>
    </row>
    <row r="165" spans="2:26" s="7" customFormat="1" ht="10" customHeight="1" thickBot="1" x14ac:dyDescent="0.4">
      <c r="B165"/>
      <c r="D165" s="55" t="s">
        <v>146</v>
      </c>
      <c r="E165" s="18"/>
      <c r="F165" s="75" t="s">
        <v>148</v>
      </c>
      <c r="G165" s="35"/>
      <c r="J165" s="55" t="s">
        <v>1</v>
      </c>
      <c r="K165" s="18"/>
      <c r="L165" s="35"/>
      <c r="M165" s="56" t="s">
        <v>147</v>
      </c>
      <c r="N165" s="19"/>
      <c r="O165" s="36"/>
      <c r="P165" s="76" t="s">
        <v>148</v>
      </c>
      <c r="Q165" s="35"/>
      <c r="T165" s="55" t="s">
        <v>1</v>
      </c>
      <c r="U165" s="18"/>
      <c r="V165" s="18"/>
      <c r="W165" s="18"/>
      <c r="X165" s="18"/>
      <c r="Y165" s="18"/>
      <c r="Z165" s="35"/>
    </row>
    <row r="166" spans="2:26" s="7" customFormat="1" ht="10" customHeight="1" thickBot="1" x14ac:dyDescent="0.4">
      <c r="B166"/>
      <c r="D166" s="56" t="s">
        <v>150</v>
      </c>
      <c r="E166" s="19"/>
      <c r="F166" s="73" t="s">
        <v>150</v>
      </c>
      <c r="G166" s="35"/>
      <c r="J166" s="56" t="s">
        <v>147</v>
      </c>
      <c r="K166" s="19"/>
      <c r="L166" s="36"/>
      <c r="P166" s="55" t="s">
        <v>2</v>
      </c>
      <c r="Q166" s="35"/>
      <c r="T166" s="56" t="s">
        <v>147</v>
      </c>
      <c r="U166" s="19"/>
      <c r="V166" s="19"/>
      <c r="W166" s="19"/>
      <c r="X166" s="19"/>
      <c r="Y166" s="19"/>
      <c r="Z166" s="36"/>
    </row>
    <row r="167" spans="2:26" s="7" customFormat="1" ht="10" customHeight="1" x14ac:dyDescent="0.35">
      <c r="B167"/>
      <c r="F167" s="73" t="s">
        <v>3</v>
      </c>
      <c r="G167" s="35"/>
      <c r="P167" s="55" t="s">
        <v>146</v>
      </c>
      <c r="Q167" s="35"/>
    </row>
    <row r="168" spans="2:26" s="7" customFormat="1" ht="10" customHeight="1" x14ac:dyDescent="0.35">
      <c r="B168"/>
      <c r="F168" s="73" t="s">
        <v>4</v>
      </c>
      <c r="G168" s="35"/>
      <c r="P168" s="55" t="s">
        <v>150</v>
      </c>
      <c r="Q168" s="35"/>
    </row>
    <row r="169" spans="2:26" s="7" customFormat="1" ht="10" customHeight="1" x14ac:dyDescent="0.35">
      <c r="B169"/>
      <c r="F169" s="73" t="s">
        <v>153</v>
      </c>
      <c r="G169" s="35"/>
      <c r="P169" s="55" t="s">
        <v>3</v>
      </c>
      <c r="Q169" s="35"/>
    </row>
    <row r="170" spans="2:26" s="7" customFormat="1" ht="10" customHeight="1" x14ac:dyDescent="0.35">
      <c r="B170"/>
      <c r="F170" s="73" t="s">
        <v>8</v>
      </c>
      <c r="G170" s="35"/>
      <c r="P170" s="55" t="s">
        <v>4</v>
      </c>
      <c r="Q170" s="35"/>
    </row>
    <row r="171" spans="2:26" s="7" customFormat="1" ht="10" customHeight="1" thickBot="1" x14ac:dyDescent="0.4">
      <c r="B171"/>
      <c r="F171" s="74" t="s">
        <v>11</v>
      </c>
      <c r="G171" s="36"/>
      <c r="P171" s="55" t="s">
        <v>1</v>
      </c>
      <c r="Q171" s="35"/>
    </row>
    <row r="172" spans="2:26" s="7" customFormat="1" ht="10" customHeight="1" x14ac:dyDescent="0.35">
      <c r="B172"/>
      <c r="P172" s="55" t="s">
        <v>147</v>
      </c>
      <c r="Q172" s="35"/>
    </row>
    <row r="173" spans="2:26" s="7" customFormat="1" ht="10" customHeight="1" x14ac:dyDescent="0.35">
      <c r="B173"/>
      <c r="P173" s="55" t="s">
        <v>10</v>
      </c>
      <c r="Q173" s="35"/>
    </row>
    <row r="174" spans="2:26" s="7" customFormat="1" ht="10" customHeight="1" x14ac:dyDescent="0.35">
      <c r="B174"/>
      <c r="P174" s="55" t="s">
        <v>153</v>
      </c>
      <c r="Q174" s="35"/>
    </row>
    <row r="175" spans="2:26" s="7" customFormat="1" ht="10" customHeight="1" x14ac:dyDescent="0.35">
      <c r="B175"/>
      <c r="P175" s="55" t="s">
        <v>6</v>
      </c>
      <c r="Q175" s="35"/>
    </row>
    <row r="176" spans="2:26" s="7" customFormat="1" ht="10" customHeight="1" x14ac:dyDescent="0.35">
      <c r="B176"/>
      <c r="P176" s="55" t="s">
        <v>8</v>
      </c>
      <c r="Q176" s="35"/>
    </row>
    <row r="177" spans="2:28" s="7" customFormat="1" ht="10" customHeight="1" x14ac:dyDescent="0.35">
      <c r="B177"/>
      <c r="P177" s="55" t="s">
        <v>11</v>
      </c>
      <c r="Q177" s="35"/>
    </row>
    <row r="178" spans="2:28" s="7" customFormat="1" ht="10" customHeight="1" thickBot="1" x14ac:dyDescent="0.4">
      <c r="B178"/>
      <c r="P178" s="56" t="s">
        <v>9</v>
      </c>
      <c r="Q178" s="36"/>
    </row>
    <row r="179" spans="2:28" s="7" customFormat="1" ht="10" customHeight="1" x14ac:dyDescent="0.35">
      <c r="B179"/>
    </row>
    <row r="180" spans="2:28" s="7" customFormat="1" ht="10" customHeight="1" thickBot="1" x14ac:dyDescent="0.4">
      <c r="B180"/>
      <c r="D180" s="44">
        <v>0.375</v>
      </c>
      <c r="E180" s="44">
        <v>0.38541666666666669</v>
      </c>
      <c r="F180" s="44">
        <v>0.39583333333333298</v>
      </c>
      <c r="G180" s="44">
        <v>0.40625</v>
      </c>
      <c r="H180" s="44">
        <v>0.41666666666666702</v>
      </c>
      <c r="I180" s="44">
        <v>0.4236111111111111</v>
      </c>
      <c r="J180" s="44">
        <v>0.43055555555555558</v>
      </c>
      <c r="K180" s="44">
        <v>0.4375</v>
      </c>
      <c r="L180" s="44">
        <v>0.44444444444444442</v>
      </c>
      <c r="M180" s="44">
        <v>0.45833333333333331</v>
      </c>
      <c r="N180" s="44">
        <v>0.47222222222222227</v>
      </c>
      <c r="O180" s="44">
        <v>0.4861111111111111</v>
      </c>
      <c r="P180" s="44">
        <v>0.5</v>
      </c>
      <c r="Q180" s="44">
        <v>0.51041666666666663</v>
      </c>
      <c r="R180" s="44">
        <v>0.52083333333333337</v>
      </c>
      <c r="S180" s="44">
        <v>0.53125</v>
      </c>
      <c r="T180" s="44">
        <v>0.54166666666666663</v>
      </c>
      <c r="U180" s="44">
        <v>0.55555555555555558</v>
      </c>
      <c r="V180" s="44">
        <v>0.56944444444444442</v>
      </c>
      <c r="W180" s="44">
        <v>0.58333333333333337</v>
      </c>
      <c r="X180" s="44">
        <v>0.59722222222222221</v>
      </c>
      <c r="Y180" s="44">
        <v>0.61111111111111105</v>
      </c>
      <c r="Z180" s="44">
        <v>0.625</v>
      </c>
      <c r="AA180" s="44">
        <v>0.63888888888888895</v>
      </c>
    </row>
    <row r="181" spans="2:28" s="7" customFormat="1" ht="10" customHeight="1" thickBot="1" x14ac:dyDescent="0.4">
      <c r="B181"/>
      <c r="D181" s="66" t="s">
        <v>155</v>
      </c>
      <c r="E181" s="68"/>
      <c r="F181" s="66" t="s">
        <v>200</v>
      </c>
      <c r="G181" s="68"/>
      <c r="H181" s="66" t="s">
        <v>78</v>
      </c>
      <c r="I181" s="68"/>
      <c r="J181" s="64" t="s">
        <v>109</v>
      </c>
      <c r="K181" s="67"/>
      <c r="L181" s="65"/>
      <c r="M181" s="64" t="s">
        <v>110</v>
      </c>
      <c r="N181" s="67"/>
      <c r="O181" s="65"/>
      <c r="P181" s="66" t="s">
        <v>112</v>
      </c>
      <c r="Q181" s="68"/>
      <c r="R181" s="66" t="s">
        <v>113</v>
      </c>
      <c r="S181" s="67"/>
      <c r="T181" s="64" t="s">
        <v>111</v>
      </c>
      <c r="U181" s="65"/>
      <c r="V181" s="64" t="s">
        <v>114</v>
      </c>
      <c r="W181" s="65"/>
      <c r="X181" s="64" t="s">
        <v>201</v>
      </c>
      <c r="Y181" s="65"/>
      <c r="Z181" s="46" t="s">
        <v>202</v>
      </c>
      <c r="AA181" s="47"/>
    </row>
    <row r="182" spans="2:28" s="7" customFormat="1" ht="10" customHeight="1" x14ac:dyDescent="0.35">
      <c r="B182"/>
      <c r="C182" s="7" t="s">
        <v>185</v>
      </c>
      <c r="D182" s="54" t="s">
        <v>16</v>
      </c>
      <c r="E182" s="34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34"/>
      <c r="AB182" s="7">
        <v>5.8299999237060547</v>
      </c>
    </row>
    <row r="183" spans="2:28" s="7" customFormat="1" ht="10" customHeight="1" x14ac:dyDescent="0.35">
      <c r="B183"/>
      <c r="D183" s="55" t="s">
        <v>151</v>
      </c>
      <c r="E183" s="35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35"/>
    </row>
    <row r="184" spans="2:28" s="7" customFormat="1" ht="10" customHeight="1" x14ac:dyDescent="0.35">
      <c r="B184"/>
      <c r="D184" s="55" t="s">
        <v>116</v>
      </c>
      <c r="E184" s="35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35"/>
    </row>
    <row r="185" spans="2:28" s="7" customFormat="1" ht="10" customHeight="1" x14ac:dyDescent="0.35">
      <c r="B185"/>
      <c r="D185" s="55" t="s">
        <v>185</v>
      </c>
      <c r="E185" s="35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35"/>
    </row>
    <row r="186" spans="2:28" s="7" customFormat="1" ht="10" customHeight="1" x14ac:dyDescent="0.35">
      <c r="B186"/>
      <c r="D186" s="55"/>
      <c r="E186" s="35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35"/>
    </row>
    <row r="187" spans="2:28" s="7" customFormat="1" ht="10" customHeight="1" thickBot="1" x14ac:dyDescent="0.4">
      <c r="B187"/>
      <c r="D187" s="56" t="s">
        <v>16</v>
      </c>
      <c r="E187" s="36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36"/>
    </row>
    <row r="188" spans="2:28" s="7" customFormat="1" ht="10" customHeight="1" x14ac:dyDescent="0.35">
      <c r="B188"/>
      <c r="D188" s="76" t="s">
        <v>148</v>
      </c>
      <c r="E188" s="35"/>
    </row>
    <row r="189" spans="2:28" s="7" customFormat="1" ht="10" customHeight="1" x14ac:dyDescent="0.35">
      <c r="B189"/>
      <c r="D189" s="55" t="s">
        <v>2</v>
      </c>
      <c r="E189" s="35"/>
    </row>
    <row r="190" spans="2:28" s="7" customFormat="1" ht="10" customHeight="1" x14ac:dyDescent="0.35">
      <c r="B190"/>
      <c r="D190" s="55" t="s">
        <v>146</v>
      </c>
      <c r="E190" s="35"/>
    </row>
    <row r="191" spans="2:28" s="7" customFormat="1" ht="10" customHeight="1" thickBot="1" x14ac:dyDescent="0.4">
      <c r="B191"/>
      <c r="D191" s="56" t="s">
        <v>150</v>
      </c>
      <c r="E191" s="36"/>
    </row>
    <row r="192" spans="2:28" s="7" customFormat="1" ht="10" customHeight="1" x14ac:dyDescent="0.35">
      <c r="B192"/>
    </row>
    <row r="193" spans="2:28" s="7" customFormat="1" ht="10" customHeight="1" thickBot="1" x14ac:dyDescent="0.4">
      <c r="B193"/>
      <c r="D193" s="44">
        <v>0.375</v>
      </c>
      <c r="E193" s="44">
        <v>0.38541666666666669</v>
      </c>
      <c r="F193" s="44">
        <v>0.39583333333333298</v>
      </c>
      <c r="G193" s="44">
        <v>0.40625</v>
      </c>
      <c r="H193" s="44">
        <v>0.41666666666666702</v>
      </c>
      <c r="I193" s="44">
        <v>0.4236111111111111</v>
      </c>
      <c r="J193" s="44">
        <v>0.43055555555555558</v>
      </c>
      <c r="K193" s="44">
        <v>0.4375</v>
      </c>
      <c r="L193" s="44">
        <v>0.44444444444444442</v>
      </c>
      <c r="M193" s="44">
        <v>0.45833333333333331</v>
      </c>
      <c r="N193" s="44">
        <v>0.47222222222222227</v>
      </c>
      <c r="O193" s="44">
        <v>0.4861111111111111</v>
      </c>
      <c r="P193" s="44">
        <v>0.5</v>
      </c>
      <c r="Q193" s="44">
        <v>0.51041666666666663</v>
      </c>
      <c r="R193" s="44">
        <v>0.52083333333333337</v>
      </c>
      <c r="S193" s="44">
        <v>0.53125</v>
      </c>
      <c r="T193" s="44">
        <v>0.54166666666666663</v>
      </c>
      <c r="U193" s="44">
        <v>0.55555555555555558</v>
      </c>
      <c r="V193" s="44">
        <v>0.56944444444444442</v>
      </c>
      <c r="W193" s="44">
        <v>0.58333333333333337</v>
      </c>
      <c r="X193" s="44">
        <v>0.59722222222222221</v>
      </c>
      <c r="Y193" s="44">
        <v>0.61111111111111105</v>
      </c>
      <c r="Z193" s="44">
        <v>0.625</v>
      </c>
      <c r="AA193" s="44">
        <v>0.63888888888888895</v>
      </c>
    </row>
    <row r="194" spans="2:28" s="7" customFormat="1" ht="10" customHeight="1" thickBot="1" x14ac:dyDescent="0.4">
      <c r="B194"/>
      <c r="D194" s="66" t="s">
        <v>155</v>
      </c>
      <c r="E194" s="68"/>
      <c r="F194" s="66" t="s">
        <v>200</v>
      </c>
      <c r="G194" s="68"/>
      <c r="H194" s="66" t="s">
        <v>78</v>
      </c>
      <c r="I194" s="68"/>
      <c r="J194" s="64" t="s">
        <v>109</v>
      </c>
      <c r="K194" s="67"/>
      <c r="L194" s="65"/>
      <c r="M194" s="64" t="s">
        <v>110</v>
      </c>
      <c r="N194" s="67"/>
      <c r="O194" s="65"/>
      <c r="P194" s="66" t="s">
        <v>112</v>
      </c>
      <c r="Q194" s="68"/>
      <c r="R194" s="66" t="s">
        <v>113</v>
      </c>
      <c r="S194" s="67"/>
      <c r="T194" s="64" t="s">
        <v>111</v>
      </c>
      <c r="U194" s="65"/>
      <c r="V194" s="64" t="s">
        <v>114</v>
      </c>
      <c r="W194" s="65"/>
      <c r="X194" s="64" t="s">
        <v>201</v>
      </c>
      <c r="Y194" s="65"/>
      <c r="Z194" s="46" t="s">
        <v>202</v>
      </c>
      <c r="AA194" s="47"/>
    </row>
    <row r="195" spans="2:28" s="7" customFormat="1" ht="10" customHeight="1" x14ac:dyDescent="0.35">
      <c r="B195"/>
      <c r="C195" s="7" t="s">
        <v>72</v>
      </c>
      <c r="D195" s="54" t="s">
        <v>160</v>
      </c>
      <c r="E195" s="23"/>
      <c r="F195" s="72" t="s">
        <v>98</v>
      </c>
      <c r="G195" s="34"/>
      <c r="J195" s="54" t="s">
        <v>5</v>
      </c>
      <c r="K195" s="23"/>
      <c r="L195" s="23"/>
      <c r="M195" s="23"/>
      <c r="N195" s="23"/>
      <c r="O195" s="34"/>
      <c r="P195" s="54" t="s">
        <v>112</v>
      </c>
      <c r="Q195" s="34"/>
      <c r="R195" s="54" t="s">
        <v>275</v>
      </c>
      <c r="S195" s="23"/>
      <c r="T195" s="23"/>
      <c r="U195" s="23"/>
      <c r="V195" s="23"/>
      <c r="W195" s="23"/>
      <c r="X195" s="23"/>
      <c r="Y195" s="23"/>
      <c r="Z195" s="34"/>
      <c r="AB195" s="7">
        <v>6.5</v>
      </c>
    </row>
    <row r="196" spans="2:28" s="7" customFormat="1" ht="10" customHeight="1" x14ac:dyDescent="0.35">
      <c r="B196"/>
      <c r="D196" s="55" t="s">
        <v>142</v>
      </c>
      <c r="E196" s="18"/>
      <c r="F196" s="73" t="s">
        <v>143</v>
      </c>
      <c r="G196" s="35"/>
      <c r="J196" s="55" t="s">
        <v>142</v>
      </c>
      <c r="K196" s="18"/>
      <c r="L196" s="18"/>
      <c r="M196" s="18"/>
      <c r="N196" s="18"/>
      <c r="O196" s="35"/>
      <c r="P196" s="55" t="s">
        <v>182</v>
      </c>
      <c r="Q196" s="35"/>
      <c r="R196" s="55" t="s">
        <v>142</v>
      </c>
      <c r="S196" s="18"/>
      <c r="T196" s="18"/>
      <c r="U196" s="18"/>
      <c r="V196" s="18"/>
      <c r="W196" s="18"/>
      <c r="X196" s="18"/>
      <c r="Y196" s="18"/>
      <c r="Z196" s="35"/>
    </row>
    <row r="197" spans="2:28" s="7" customFormat="1" ht="10" customHeight="1" x14ac:dyDescent="0.35">
      <c r="B197"/>
      <c r="D197" s="55" t="s">
        <v>72</v>
      </c>
      <c r="E197" s="18"/>
      <c r="F197" s="73" t="s">
        <v>79</v>
      </c>
      <c r="G197" s="35"/>
      <c r="J197" s="55" t="s">
        <v>73</v>
      </c>
      <c r="K197" s="18"/>
      <c r="L197" s="18"/>
      <c r="M197" s="18"/>
      <c r="N197" s="18"/>
      <c r="O197" s="35"/>
      <c r="P197" s="55" t="s">
        <v>75</v>
      </c>
      <c r="Q197" s="35"/>
      <c r="R197" s="55" t="s">
        <v>72</v>
      </c>
      <c r="S197" s="18"/>
      <c r="T197" s="18"/>
      <c r="U197" s="18"/>
      <c r="V197" s="18"/>
      <c r="W197" s="18"/>
      <c r="X197" s="18"/>
      <c r="Y197" s="18"/>
      <c r="Z197" s="35"/>
    </row>
    <row r="198" spans="2:28" s="7" customFormat="1" ht="10" customHeight="1" x14ac:dyDescent="0.35">
      <c r="B198"/>
      <c r="D198" s="55" t="s">
        <v>81</v>
      </c>
      <c r="E198" s="18"/>
      <c r="F198" s="73" t="s">
        <v>72</v>
      </c>
      <c r="G198" s="35"/>
      <c r="J198" s="55" t="s">
        <v>72</v>
      </c>
      <c r="K198" s="18"/>
      <c r="L198" s="18"/>
      <c r="M198" s="18"/>
      <c r="N198" s="18"/>
      <c r="O198" s="35"/>
      <c r="P198" s="55" t="s">
        <v>79</v>
      </c>
      <c r="Q198" s="35"/>
      <c r="R198" s="55" t="s">
        <v>82</v>
      </c>
      <c r="S198" s="18"/>
      <c r="T198" s="18"/>
      <c r="U198" s="18"/>
      <c r="V198" s="18"/>
      <c r="W198" s="18"/>
      <c r="X198" s="18"/>
      <c r="Y198" s="18"/>
      <c r="Z198" s="35"/>
    </row>
    <row r="199" spans="2:28" s="7" customFormat="1" ht="10" customHeight="1" x14ac:dyDescent="0.35">
      <c r="B199"/>
      <c r="D199" s="55" t="s">
        <v>157</v>
      </c>
      <c r="E199" s="18"/>
      <c r="F199" s="73" t="s">
        <v>81</v>
      </c>
      <c r="G199" s="35"/>
      <c r="J199" s="55" t="s">
        <v>81</v>
      </c>
      <c r="K199" s="18"/>
      <c r="L199" s="18"/>
      <c r="M199" s="18"/>
      <c r="N199" s="18"/>
      <c r="O199" s="35"/>
      <c r="P199" s="55" t="s">
        <v>72</v>
      </c>
      <c r="Q199" s="35"/>
      <c r="R199" s="55"/>
      <c r="S199" s="18"/>
      <c r="T199" s="18"/>
      <c r="U199" s="18"/>
      <c r="V199" s="18"/>
      <c r="W199" s="18"/>
      <c r="X199" s="18"/>
      <c r="Y199" s="18"/>
      <c r="Z199" s="35"/>
    </row>
    <row r="200" spans="2:28" s="7" customFormat="1" ht="10" customHeight="1" x14ac:dyDescent="0.35">
      <c r="B200"/>
      <c r="D200" s="55"/>
      <c r="E200" s="18"/>
      <c r="F200" s="73" t="s">
        <v>80</v>
      </c>
      <c r="G200" s="35"/>
      <c r="J200" s="55" t="s">
        <v>157</v>
      </c>
      <c r="K200" s="18"/>
      <c r="L200" s="18"/>
      <c r="M200" s="18"/>
      <c r="N200" s="18"/>
      <c r="O200" s="35"/>
      <c r="P200" s="55" t="s">
        <v>69</v>
      </c>
      <c r="Q200" s="35"/>
      <c r="R200" s="76" t="s">
        <v>148</v>
      </c>
      <c r="S200" s="18"/>
      <c r="T200" s="18"/>
      <c r="U200" s="18"/>
      <c r="V200" s="18"/>
      <c r="W200" s="18"/>
      <c r="X200" s="18"/>
      <c r="Y200" s="18"/>
      <c r="Z200" s="35"/>
    </row>
    <row r="201" spans="2:28" s="7" customFormat="1" ht="10" customHeight="1" x14ac:dyDescent="0.35">
      <c r="B201"/>
      <c r="D201" s="55" t="s">
        <v>3</v>
      </c>
      <c r="E201" s="18"/>
      <c r="F201" s="73"/>
      <c r="G201" s="35"/>
      <c r="J201" s="55"/>
      <c r="K201" s="18"/>
      <c r="L201" s="18"/>
      <c r="M201" s="18"/>
      <c r="N201" s="18"/>
      <c r="O201" s="35"/>
      <c r="P201" s="55" t="s">
        <v>82</v>
      </c>
      <c r="Q201" s="35"/>
      <c r="R201" s="55" t="s">
        <v>2</v>
      </c>
      <c r="S201" s="18"/>
      <c r="T201" s="18"/>
      <c r="U201" s="18"/>
      <c r="V201" s="18"/>
      <c r="W201" s="18"/>
      <c r="X201" s="18"/>
      <c r="Y201" s="18"/>
      <c r="Z201" s="35"/>
    </row>
    <row r="202" spans="2:28" s="7" customFormat="1" ht="10" customHeight="1" thickBot="1" x14ac:dyDescent="0.4">
      <c r="B202"/>
      <c r="D202" s="55" t="s">
        <v>4</v>
      </c>
      <c r="E202" s="18"/>
      <c r="F202" s="73" t="s">
        <v>2</v>
      </c>
      <c r="G202" s="35"/>
      <c r="J202" s="76" t="s">
        <v>148</v>
      </c>
      <c r="K202" s="18"/>
      <c r="L202" s="18"/>
      <c r="M202" s="18"/>
      <c r="N202" s="18"/>
      <c r="O202" s="35"/>
      <c r="P202" s="55"/>
      <c r="Q202" s="35"/>
      <c r="R202" s="56" t="s">
        <v>146</v>
      </c>
      <c r="S202" s="19"/>
      <c r="T202" s="19"/>
      <c r="U202" s="19"/>
      <c r="V202" s="19"/>
      <c r="W202" s="19"/>
      <c r="X202" s="19"/>
      <c r="Y202" s="19"/>
      <c r="Z202" s="36"/>
    </row>
    <row r="203" spans="2:28" s="7" customFormat="1" ht="10" customHeight="1" x14ac:dyDescent="0.35">
      <c r="B203"/>
      <c r="D203" s="55" t="s">
        <v>1</v>
      </c>
      <c r="E203" s="18"/>
      <c r="F203" s="73" t="s">
        <v>146</v>
      </c>
      <c r="G203" s="35"/>
      <c r="J203" s="55" t="s">
        <v>2</v>
      </c>
      <c r="K203" s="18"/>
      <c r="L203" s="18"/>
      <c r="M203" s="18"/>
      <c r="N203" s="18"/>
      <c r="O203" s="35"/>
      <c r="P203" s="76" t="s">
        <v>148</v>
      </c>
      <c r="Q203" s="35"/>
    </row>
    <row r="204" spans="2:28" s="7" customFormat="1" ht="10" customHeight="1" thickBot="1" x14ac:dyDescent="0.4">
      <c r="B204"/>
      <c r="D204" s="56" t="s">
        <v>147</v>
      </c>
      <c r="E204" s="19"/>
      <c r="F204" s="73" t="s">
        <v>1</v>
      </c>
      <c r="G204" s="35"/>
      <c r="J204" s="55" t="s">
        <v>146</v>
      </c>
      <c r="K204" s="18"/>
      <c r="L204" s="18"/>
      <c r="M204" s="18"/>
      <c r="N204" s="18"/>
      <c r="O204" s="35"/>
      <c r="P204" s="55" t="s">
        <v>2</v>
      </c>
      <c r="Q204" s="35"/>
    </row>
    <row r="205" spans="2:28" s="7" customFormat="1" ht="10" customHeight="1" thickBot="1" x14ac:dyDescent="0.4">
      <c r="B205"/>
      <c r="F205" s="73" t="s">
        <v>147</v>
      </c>
      <c r="G205" s="35"/>
      <c r="J205" s="56" t="s">
        <v>150</v>
      </c>
      <c r="K205" s="19"/>
      <c r="L205" s="19"/>
      <c r="M205" s="19"/>
      <c r="N205" s="19"/>
      <c r="O205" s="36"/>
      <c r="P205" s="55" t="s">
        <v>146</v>
      </c>
      <c r="Q205" s="35"/>
    </row>
    <row r="206" spans="2:28" s="7" customFormat="1" ht="10" customHeight="1" x14ac:dyDescent="0.35">
      <c r="B206"/>
      <c r="F206" s="73" t="s">
        <v>10</v>
      </c>
      <c r="G206" s="35"/>
      <c r="P206" s="55" t="s">
        <v>150</v>
      </c>
      <c r="Q206" s="35"/>
    </row>
    <row r="207" spans="2:28" s="7" customFormat="1" ht="10" customHeight="1" thickBot="1" x14ac:dyDescent="0.4">
      <c r="B207"/>
      <c r="F207" s="74" t="s">
        <v>6</v>
      </c>
      <c r="G207" s="36"/>
      <c r="P207" s="55" t="s">
        <v>3</v>
      </c>
      <c r="Q207" s="35"/>
    </row>
    <row r="208" spans="2:28" s="7" customFormat="1" ht="10" customHeight="1" x14ac:dyDescent="0.35">
      <c r="B208"/>
      <c r="P208" s="55" t="s">
        <v>4</v>
      </c>
      <c r="Q208" s="35"/>
    </row>
    <row r="209" spans="2:28" s="7" customFormat="1" ht="10" customHeight="1" x14ac:dyDescent="0.35">
      <c r="B209"/>
      <c r="P209" s="55" t="s">
        <v>1</v>
      </c>
      <c r="Q209" s="35"/>
    </row>
    <row r="210" spans="2:28" s="7" customFormat="1" ht="10" customHeight="1" x14ac:dyDescent="0.35">
      <c r="B210"/>
      <c r="P210" s="55" t="s">
        <v>147</v>
      </c>
      <c r="Q210" s="35"/>
    </row>
    <row r="211" spans="2:28" s="7" customFormat="1" ht="10" customHeight="1" x14ac:dyDescent="0.35">
      <c r="B211"/>
      <c r="P211" s="55" t="s">
        <v>10</v>
      </c>
      <c r="Q211" s="35"/>
    </row>
    <row r="212" spans="2:28" s="7" customFormat="1" ht="10" customHeight="1" x14ac:dyDescent="0.35">
      <c r="B212"/>
      <c r="P212" s="55" t="s">
        <v>153</v>
      </c>
      <c r="Q212" s="35"/>
    </row>
    <row r="213" spans="2:28" s="7" customFormat="1" ht="10" customHeight="1" x14ac:dyDescent="0.35">
      <c r="B213"/>
      <c r="P213" s="55" t="s">
        <v>6</v>
      </c>
      <c r="Q213" s="35"/>
    </row>
    <row r="214" spans="2:28" s="7" customFormat="1" ht="10" customHeight="1" x14ac:dyDescent="0.35">
      <c r="B214"/>
      <c r="P214" s="55" t="s">
        <v>8</v>
      </c>
      <c r="Q214" s="35"/>
    </row>
    <row r="215" spans="2:28" s="7" customFormat="1" ht="10" customHeight="1" x14ac:dyDescent="0.35">
      <c r="B215"/>
      <c r="P215" s="55" t="s">
        <v>11</v>
      </c>
      <c r="Q215" s="35"/>
    </row>
    <row r="216" spans="2:28" s="7" customFormat="1" ht="10" customHeight="1" thickBot="1" x14ac:dyDescent="0.4">
      <c r="B216"/>
      <c r="P216" s="56" t="s">
        <v>9</v>
      </c>
      <c r="Q216" s="36"/>
    </row>
    <row r="217" spans="2:28" s="7" customFormat="1" ht="10" customHeight="1" x14ac:dyDescent="0.35">
      <c r="B217"/>
    </row>
    <row r="218" spans="2:28" s="7" customFormat="1" ht="10" customHeight="1" thickBot="1" x14ac:dyDescent="0.4">
      <c r="B218"/>
      <c r="D218" s="44">
        <v>0.375</v>
      </c>
      <c r="E218" s="44">
        <v>0.38541666666666669</v>
      </c>
      <c r="F218" s="44">
        <v>0.39583333333333298</v>
      </c>
      <c r="G218" s="44">
        <v>0.40625</v>
      </c>
      <c r="H218" s="44">
        <v>0.41666666666666702</v>
      </c>
      <c r="I218" s="44">
        <v>0.4236111111111111</v>
      </c>
      <c r="J218" s="44">
        <v>0.43055555555555558</v>
      </c>
      <c r="K218" s="44">
        <v>0.4375</v>
      </c>
      <c r="L218" s="44">
        <v>0.44444444444444442</v>
      </c>
      <c r="M218" s="44">
        <v>0.45833333333333331</v>
      </c>
      <c r="N218" s="44">
        <v>0.47222222222222227</v>
      </c>
      <c r="O218" s="44">
        <v>0.4861111111111111</v>
      </c>
      <c r="P218" s="44">
        <v>0.5</v>
      </c>
      <c r="Q218" s="44">
        <v>0.51041666666666663</v>
      </c>
      <c r="R218" s="44">
        <v>0.52083333333333337</v>
      </c>
      <c r="S218" s="44">
        <v>0.53125</v>
      </c>
      <c r="T218" s="44">
        <v>0.54166666666666663</v>
      </c>
      <c r="U218" s="44">
        <v>0.55555555555555558</v>
      </c>
      <c r="V218" s="44">
        <v>0.56944444444444442</v>
      </c>
      <c r="W218" s="44">
        <v>0.58333333333333337</v>
      </c>
      <c r="X218" s="44">
        <v>0.59722222222222221</v>
      </c>
      <c r="Y218" s="44">
        <v>0.61111111111111105</v>
      </c>
      <c r="Z218" s="44">
        <v>0.625</v>
      </c>
      <c r="AA218" s="44">
        <v>0.63888888888888895</v>
      </c>
    </row>
    <row r="219" spans="2:28" s="7" customFormat="1" ht="10" customHeight="1" thickBot="1" x14ac:dyDescent="0.4">
      <c r="B219"/>
      <c r="D219" s="66" t="s">
        <v>155</v>
      </c>
      <c r="E219" s="68"/>
      <c r="F219" s="66" t="s">
        <v>200</v>
      </c>
      <c r="G219" s="68"/>
      <c r="H219" s="66" t="s">
        <v>78</v>
      </c>
      <c r="I219" s="68"/>
      <c r="J219" s="64" t="s">
        <v>109</v>
      </c>
      <c r="K219" s="67"/>
      <c r="L219" s="65"/>
      <c r="M219" s="64" t="s">
        <v>110</v>
      </c>
      <c r="N219" s="67"/>
      <c r="O219" s="65"/>
      <c r="P219" s="66" t="s">
        <v>112</v>
      </c>
      <c r="Q219" s="68"/>
      <c r="R219" s="66" t="s">
        <v>113</v>
      </c>
      <c r="S219" s="67"/>
      <c r="T219" s="64" t="s">
        <v>111</v>
      </c>
      <c r="U219" s="65"/>
      <c r="V219" s="64" t="s">
        <v>114</v>
      </c>
      <c r="W219" s="65"/>
      <c r="X219" s="64" t="s">
        <v>201</v>
      </c>
      <c r="Y219" s="65"/>
      <c r="Z219" s="46" t="s">
        <v>202</v>
      </c>
      <c r="AA219" s="47"/>
    </row>
    <row r="220" spans="2:28" s="7" customFormat="1" ht="10" customHeight="1" x14ac:dyDescent="0.35">
      <c r="B220"/>
      <c r="C220" s="7" t="s">
        <v>71</v>
      </c>
      <c r="F220" s="54" t="s">
        <v>97</v>
      </c>
      <c r="G220" s="34"/>
      <c r="J220" s="54" t="s">
        <v>0</v>
      </c>
      <c r="K220" s="23"/>
      <c r="L220" s="34"/>
      <c r="M220" s="54" t="s">
        <v>213</v>
      </c>
      <c r="N220" s="23"/>
      <c r="O220" s="34"/>
      <c r="R220" s="54" t="s">
        <v>165</v>
      </c>
      <c r="S220" s="34"/>
      <c r="T220" s="54" t="s">
        <v>0</v>
      </c>
      <c r="U220" s="23"/>
      <c r="V220" s="23"/>
      <c r="W220" s="23"/>
      <c r="X220" s="23"/>
      <c r="Y220" s="23"/>
      <c r="Z220" s="34"/>
      <c r="AB220" s="7">
        <v>5</v>
      </c>
    </row>
    <row r="221" spans="2:28" s="7" customFormat="1" ht="10" customHeight="1" x14ac:dyDescent="0.35">
      <c r="B221"/>
      <c r="F221" s="55" t="s">
        <v>141</v>
      </c>
      <c r="G221" s="35"/>
      <c r="J221" s="55" t="s">
        <v>141</v>
      </c>
      <c r="K221" s="18"/>
      <c r="L221" s="35"/>
      <c r="M221" s="55" t="s">
        <v>145</v>
      </c>
      <c r="N221" s="18"/>
      <c r="O221" s="35"/>
      <c r="R221" s="55" t="s">
        <v>183</v>
      </c>
      <c r="S221" s="35"/>
      <c r="T221" s="55" t="s">
        <v>141</v>
      </c>
      <c r="U221" s="18"/>
      <c r="V221" s="18"/>
      <c r="W221" s="18"/>
      <c r="X221" s="18"/>
      <c r="Y221" s="18"/>
      <c r="Z221" s="35"/>
    </row>
    <row r="222" spans="2:28" s="7" customFormat="1" ht="10" customHeight="1" x14ac:dyDescent="0.35">
      <c r="B222"/>
      <c r="F222" s="55" t="s">
        <v>75</v>
      </c>
      <c r="G222" s="35"/>
      <c r="J222" s="55" t="s">
        <v>75</v>
      </c>
      <c r="K222" s="18"/>
      <c r="L222" s="35"/>
      <c r="M222" s="55" t="s">
        <v>71</v>
      </c>
      <c r="N222" s="18"/>
      <c r="O222" s="35"/>
      <c r="R222" s="55" t="s">
        <v>73</v>
      </c>
      <c r="S222" s="35"/>
      <c r="T222" s="55" t="s">
        <v>75</v>
      </c>
      <c r="U222" s="18"/>
      <c r="V222" s="18"/>
      <c r="W222" s="18"/>
      <c r="X222" s="18"/>
      <c r="Y222" s="18"/>
      <c r="Z222" s="35"/>
    </row>
    <row r="223" spans="2:28" s="7" customFormat="1" ht="10" customHeight="1" x14ac:dyDescent="0.35">
      <c r="B223"/>
      <c r="F223" s="55" t="s">
        <v>71</v>
      </c>
      <c r="G223" s="35"/>
      <c r="J223" s="55" t="s">
        <v>69</v>
      </c>
      <c r="K223" s="18"/>
      <c r="L223" s="35"/>
      <c r="M223" s="55"/>
      <c r="N223" s="18"/>
      <c r="O223" s="35"/>
      <c r="R223" s="55" t="s">
        <v>83</v>
      </c>
      <c r="S223" s="35"/>
      <c r="T223" s="55" t="s">
        <v>69</v>
      </c>
      <c r="U223" s="18"/>
      <c r="V223" s="18"/>
      <c r="W223" s="18"/>
      <c r="X223" s="18"/>
      <c r="Y223" s="18"/>
      <c r="Z223" s="35"/>
    </row>
    <row r="224" spans="2:28" s="7" customFormat="1" ht="10" customHeight="1" thickBot="1" x14ac:dyDescent="0.4">
      <c r="B224"/>
      <c r="F224" s="55" t="s">
        <v>69</v>
      </c>
      <c r="G224" s="35"/>
      <c r="J224" s="55" t="s">
        <v>71</v>
      </c>
      <c r="K224" s="18"/>
      <c r="L224" s="35"/>
      <c r="M224" s="56" t="s">
        <v>1</v>
      </c>
      <c r="N224" s="19"/>
      <c r="O224" s="36"/>
      <c r="R224" s="55" t="s">
        <v>77</v>
      </c>
      <c r="S224" s="35"/>
      <c r="T224" s="55" t="s">
        <v>71</v>
      </c>
      <c r="U224" s="18"/>
      <c r="V224" s="18"/>
      <c r="W224" s="18"/>
      <c r="X224" s="18"/>
      <c r="Y224" s="18"/>
      <c r="Z224" s="35"/>
    </row>
    <row r="225" spans="2:28" s="7" customFormat="1" ht="10" customHeight="1" x14ac:dyDescent="0.35">
      <c r="B225"/>
      <c r="F225" s="55" t="s">
        <v>99</v>
      </c>
      <c r="G225" s="35"/>
      <c r="J225" s="55"/>
      <c r="K225" s="18"/>
      <c r="L225" s="35"/>
      <c r="R225" s="55" t="s">
        <v>157</v>
      </c>
      <c r="S225" s="35"/>
      <c r="T225" s="55"/>
      <c r="U225" s="18"/>
      <c r="V225" s="18"/>
      <c r="W225" s="18"/>
      <c r="X225" s="18"/>
      <c r="Y225" s="18"/>
      <c r="Z225" s="35"/>
    </row>
    <row r="226" spans="2:28" s="7" customFormat="1" ht="10" customHeight="1" x14ac:dyDescent="0.35">
      <c r="B226"/>
      <c r="F226" s="55" t="s">
        <v>157</v>
      </c>
      <c r="G226" s="35"/>
      <c r="J226" s="55" t="s">
        <v>3</v>
      </c>
      <c r="K226" s="18"/>
      <c r="L226" s="35"/>
      <c r="R226" s="55" t="s">
        <v>71</v>
      </c>
      <c r="S226" s="35"/>
      <c r="T226" s="55" t="s">
        <v>3</v>
      </c>
      <c r="U226" s="18"/>
      <c r="V226" s="18"/>
      <c r="W226" s="18"/>
      <c r="X226" s="18"/>
      <c r="Y226" s="18"/>
      <c r="Z226" s="35"/>
    </row>
    <row r="227" spans="2:28" s="7" customFormat="1" ht="10" customHeight="1" x14ac:dyDescent="0.35">
      <c r="B227"/>
      <c r="F227" s="55"/>
      <c r="G227" s="35"/>
      <c r="J227" s="55" t="s">
        <v>4</v>
      </c>
      <c r="K227" s="18"/>
      <c r="L227" s="35"/>
      <c r="R227" s="55"/>
      <c r="S227" s="35"/>
      <c r="T227" s="55" t="s">
        <v>4</v>
      </c>
      <c r="U227" s="18"/>
      <c r="V227" s="18"/>
      <c r="W227" s="18"/>
      <c r="X227" s="18"/>
      <c r="Y227" s="18"/>
      <c r="Z227" s="35"/>
    </row>
    <row r="228" spans="2:28" s="7" customFormat="1" ht="10" customHeight="1" x14ac:dyDescent="0.35">
      <c r="B228"/>
      <c r="F228" s="76" t="s">
        <v>148</v>
      </c>
      <c r="G228" s="35"/>
      <c r="J228" s="55" t="s">
        <v>1</v>
      </c>
      <c r="K228" s="18"/>
      <c r="L228" s="35"/>
      <c r="R228" s="55" t="s">
        <v>150</v>
      </c>
      <c r="S228" s="35"/>
      <c r="T228" s="55" t="s">
        <v>1</v>
      </c>
      <c r="U228" s="18"/>
      <c r="V228" s="18"/>
      <c r="W228" s="18"/>
      <c r="X228" s="18"/>
      <c r="Y228" s="18"/>
      <c r="Z228" s="35"/>
    </row>
    <row r="229" spans="2:28" s="7" customFormat="1" ht="10" customHeight="1" thickBot="1" x14ac:dyDescent="0.4">
      <c r="B229"/>
      <c r="F229" s="55" t="s">
        <v>150</v>
      </c>
      <c r="G229" s="35"/>
      <c r="J229" s="56" t="s">
        <v>147</v>
      </c>
      <c r="K229" s="19"/>
      <c r="L229" s="36"/>
      <c r="R229" s="55" t="s">
        <v>3</v>
      </c>
      <c r="S229" s="35"/>
      <c r="T229" s="56" t="s">
        <v>147</v>
      </c>
      <c r="U229" s="19"/>
      <c r="V229" s="19"/>
      <c r="W229" s="19"/>
      <c r="X229" s="19"/>
      <c r="Y229" s="19"/>
      <c r="Z229" s="36"/>
    </row>
    <row r="230" spans="2:28" s="7" customFormat="1" ht="10" customHeight="1" x14ac:dyDescent="0.35">
      <c r="B230"/>
      <c r="F230" s="55" t="s">
        <v>3</v>
      </c>
      <c r="G230" s="35"/>
      <c r="R230" s="55" t="s">
        <v>4</v>
      </c>
      <c r="S230" s="35"/>
    </row>
    <row r="231" spans="2:28" s="7" customFormat="1" ht="10" customHeight="1" x14ac:dyDescent="0.35">
      <c r="B231"/>
      <c r="F231" s="55" t="s">
        <v>4</v>
      </c>
      <c r="G231" s="35"/>
      <c r="R231" s="55" t="s">
        <v>1</v>
      </c>
      <c r="S231" s="35"/>
    </row>
    <row r="232" spans="2:28" s="7" customFormat="1" ht="10" customHeight="1" x14ac:dyDescent="0.35">
      <c r="B232"/>
      <c r="F232" s="55" t="s">
        <v>153</v>
      </c>
      <c r="G232" s="35"/>
      <c r="R232" s="55" t="s">
        <v>147</v>
      </c>
      <c r="S232" s="35"/>
    </row>
    <row r="233" spans="2:28" s="7" customFormat="1" ht="10" customHeight="1" x14ac:dyDescent="0.35">
      <c r="B233"/>
      <c r="F233" s="55" t="s">
        <v>8</v>
      </c>
      <c r="G233" s="35"/>
      <c r="R233" s="55" t="s">
        <v>10</v>
      </c>
      <c r="S233" s="35"/>
    </row>
    <row r="234" spans="2:28" s="7" customFormat="1" ht="10" customHeight="1" thickBot="1" x14ac:dyDescent="0.4">
      <c r="B234"/>
      <c r="F234" s="56" t="s">
        <v>11</v>
      </c>
      <c r="G234" s="36"/>
      <c r="R234" s="55" t="s">
        <v>6</v>
      </c>
      <c r="S234" s="35"/>
    </row>
    <row r="235" spans="2:28" s="7" customFormat="1" ht="10" customHeight="1" x14ac:dyDescent="0.35">
      <c r="B235"/>
      <c r="R235" s="55" t="s">
        <v>8</v>
      </c>
      <c r="S235" s="35"/>
    </row>
    <row r="236" spans="2:28" s="7" customFormat="1" ht="10" customHeight="1" thickBot="1" x14ac:dyDescent="0.4">
      <c r="B236"/>
      <c r="R236" s="56" t="s">
        <v>11</v>
      </c>
      <c r="S236" s="36"/>
    </row>
    <row r="237" spans="2:28" s="7" customFormat="1" ht="10" customHeight="1" x14ac:dyDescent="0.35">
      <c r="B237"/>
    </row>
    <row r="238" spans="2:28" s="7" customFormat="1" ht="10" customHeight="1" thickBot="1" x14ac:dyDescent="0.4">
      <c r="B238"/>
      <c r="D238" s="44">
        <v>0.375</v>
      </c>
      <c r="E238" s="44">
        <v>0.38541666666666669</v>
      </c>
      <c r="F238" s="44">
        <v>0.39583333333333298</v>
      </c>
      <c r="G238" s="44">
        <v>0.40625</v>
      </c>
      <c r="H238" s="44">
        <v>0.41666666666666702</v>
      </c>
      <c r="I238" s="44">
        <v>0.4236111111111111</v>
      </c>
      <c r="J238" s="44">
        <v>0.43055555555555558</v>
      </c>
      <c r="K238" s="44">
        <v>0.4375</v>
      </c>
      <c r="L238" s="44">
        <v>0.44444444444444442</v>
      </c>
      <c r="M238" s="44">
        <v>0.45833333333333331</v>
      </c>
      <c r="N238" s="44">
        <v>0.47222222222222227</v>
      </c>
      <c r="O238" s="44">
        <v>0.4861111111111111</v>
      </c>
      <c r="P238" s="44">
        <v>0.5</v>
      </c>
      <c r="Q238" s="44">
        <v>0.51041666666666663</v>
      </c>
      <c r="R238" s="44">
        <v>0.52083333333333337</v>
      </c>
      <c r="S238" s="44">
        <v>0.53125</v>
      </c>
      <c r="T238" s="44">
        <v>0.54166666666666663</v>
      </c>
      <c r="U238" s="44">
        <v>0.55555555555555558</v>
      </c>
      <c r="V238" s="44">
        <v>0.56944444444444442</v>
      </c>
      <c r="W238" s="44">
        <v>0.58333333333333337</v>
      </c>
      <c r="X238" s="44">
        <v>0.59722222222222221</v>
      </c>
      <c r="Y238" s="44">
        <v>0.61111111111111105</v>
      </c>
      <c r="Z238" s="44">
        <v>0.625</v>
      </c>
      <c r="AA238" s="44">
        <v>0.63888888888888895</v>
      </c>
    </row>
    <row r="239" spans="2:28" s="7" customFormat="1" ht="10" customHeight="1" thickBot="1" x14ac:dyDescent="0.4">
      <c r="B239"/>
      <c r="D239" s="66" t="s">
        <v>155</v>
      </c>
      <c r="E239" s="68"/>
      <c r="F239" s="66" t="s">
        <v>200</v>
      </c>
      <c r="G239" s="68"/>
      <c r="H239" s="66" t="s">
        <v>78</v>
      </c>
      <c r="I239" s="68"/>
      <c r="J239" s="64" t="s">
        <v>109</v>
      </c>
      <c r="K239" s="67"/>
      <c r="L239" s="65"/>
      <c r="M239" s="64" t="s">
        <v>110</v>
      </c>
      <c r="N239" s="67"/>
      <c r="O239" s="65"/>
      <c r="P239" s="66" t="s">
        <v>112</v>
      </c>
      <c r="Q239" s="68"/>
      <c r="R239" s="66" t="s">
        <v>113</v>
      </c>
      <c r="S239" s="67"/>
      <c r="T239" s="64" t="s">
        <v>111</v>
      </c>
      <c r="U239" s="65"/>
      <c r="V239" s="64" t="s">
        <v>114</v>
      </c>
      <c r="W239" s="65"/>
      <c r="X239" s="64" t="s">
        <v>201</v>
      </c>
      <c r="Y239" s="65"/>
      <c r="Z239" s="46" t="s">
        <v>202</v>
      </c>
      <c r="AA239" s="47"/>
    </row>
    <row r="240" spans="2:28" s="7" customFormat="1" ht="10" customHeight="1" x14ac:dyDescent="0.35">
      <c r="B240"/>
      <c r="C240" s="7" t="s">
        <v>70</v>
      </c>
      <c r="D240" s="54" t="s">
        <v>162</v>
      </c>
      <c r="E240" s="34"/>
      <c r="J240" s="54" t="s">
        <v>7</v>
      </c>
      <c r="K240" s="23"/>
      <c r="L240" s="34"/>
      <c r="M240" s="54" t="s">
        <v>7</v>
      </c>
      <c r="N240" s="23"/>
      <c r="O240" s="34"/>
      <c r="T240" s="54" t="s">
        <v>216</v>
      </c>
      <c r="U240" s="23"/>
      <c r="V240" s="23"/>
      <c r="W240" s="23"/>
      <c r="X240" s="23"/>
      <c r="Y240" s="23"/>
      <c r="Z240" s="34"/>
      <c r="AB240" s="7">
        <v>4.5</v>
      </c>
    </row>
    <row r="241" spans="2:28" s="7" customFormat="1" ht="10" customHeight="1" x14ac:dyDescent="0.35">
      <c r="B241"/>
      <c r="D241" s="55" t="s">
        <v>143</v>
      </c>
      <c r="E241" s="35"/>
      <c r="J241" s="55" t="s">
        <v>143</v>
      </c>
      <c r="K241" s="18"/>
      <c r="L241" s="35"/>
      <c r="M241" s="55" t="s">
        <v>143</v>
      </c>
      <c r="N241" s="18"/>
      <c r="O241" s="35"/>
      <c r="T241" s="55" t="s">
        <v>145</v>
      </c>
      <c r="U241" s="18"/>
      <c r="V241" s="18"/>
      <c r="W241" s="18"/>
      <c r="X241" s="18"/>
      <c r="Y241" s="18"/>
      <c r="Z241" s="35"/>
    </row>
    <row r="242" spans="2:28" s="7" customFormat="1" ht="10" customHeight="1" x14ac:dyDescent="0.35">
      <c r="B242"/>
      <c r="D242" s="55" t="s">
        <v>80</v>
      </c>
      <c r="E242" s="35"/>
      <c r="J242" s="55" t="s">
        <v>79</v>
      </c>
      <c r="K242" s="18"/>
      <c r="L242" s="35"/>
      <c r="M242" s="55" t="s">
        <v>79</v>
      </c>
      <c r="N242" s="18"/>
      <c r="O242" s="35"/>
      <c r="T242" s="55" t="s">
        <v>70</v>
      </c>
      <c r="U242" s="18"/>
      <c r="V242" s="18"/>
      <c r="W242" s="18"/>
      <c r="X242" s="18"/>
      <c r="Y242" s="18"/>
      <c r="Z242" s="35"/>
    </row>
    <row r="243" spans="2:28" s="7" customFormat="1" ht="10" customHeight="1" x14ac:dyDescent="0.35">
      <c r="B243"/>
      <c r="D243" s="55" t="s">
        <v>70</v>
      </c>
      <c r="E243" s="35"/>
      <c r="J243" s="55" t="s">
        <v>77</v>
      </c>
      <c r="K243" s="18"/>
      <c r="L243" s="35"/>
      <c r="M243" s="55" t="s">
        <v>70</v>
      </c>
      <c r="N243" s="18"/>
      <c r="O243" s="35"/>
      <c r="T243" s="55"/>
      <c r="U243" s="18"/>
      <c r="V243" s="18"/>
      <c r="W243" s="18"/>
      <c r="X243" s="18"/>
      <c r="Y243" s="18"/>
      <c r="Z243" s="35"/>
    </row>
    <row r="244" spans="2:28" s="7" customFormat="1" ht="10" customHeight="1" x14ac:dyDescent="0.35">
      <c r="B244"/>
      <c r="D244" s="55"/>
      <c r="E244" s="35"/>
      <c r="J244" s="55" t="s">
        <v>70</v>
      </c>
      <c r="K244" s="18"/>
      <c r="L244" s="35"/>
      <c r="M244" s="55"/>
      <c r="N244" s="18"/>
      <c r="O244" s="35"/>
      <c r="T244" s="55" t="s">
        <v>10</v>
      </c>
      <c r="U244" s="18"/>
      <c r="V244" s="18"/>
      <c r="W244" s="18"/>
      <c r="X244" s="18"/>
      <c r="Y244" s="18"/>
      <c r="Z244" s="35"/>
    </row>
    <row r="245" spans="2:28" s="7" customFormat="1" ht="10" customHeight="1" x14ac:dyDescent="0.35">
      <c r="B245"/>
      <c r="D245" s="55" t="s">
        <v>10</v>
      </c>
      <c r="E245" s="35"/>
      <c r="J245" s="55" t="s">
        <v>80</v>
      </c>
      <c r="K245" s="18"/>
      <c r="L245" s="35"/>
      <c r="M245" s="55" t="s">
        <v>10</v>
      </c>
      <c r="N245" s="18"/>
      <c r="O245" s="35"/>
      <c r="T245" s="55" t="s">
        <v>6</v>
      </c>
      <c r="U245" s="18"/>
      <c r="V245" s="18"/>
      <c r="W245" s="18"/>
      <c r="X245" s="18"/>
      <c r="Y245" s="18"/>
      <c r="Z245" s="35"/>
    </row>
    <row r="246" spans="2:28" s="7" customFormat="1" ht="10" customHeight="1" thickBot="1" x14ac:dyDescent="0.4">
      <c r="B246"/>
      <c r="D246" s="55" t="s">
        <v>153</v>
      </c>
      <c r="E246" s="35"/>
      <c r="J246" s="55"/>
      <c r="K246" s="18"/>
      <c r="L246" s="35"/>
      <c r="M246" s="55" t="s">
        <v>153</v>
      </c>
      <c r="N246" s="18"/>
      <c r="O246" s="35"/>
      <c r="T246" s="56" t="s">
        <v>11</v>
      </c>
      <c r="U246" s="19"/>
      <c r="V246" s="19"/>
      <c r="W246" s="19"/>
      <c r="X246" s="19"/>
      <c r="Y246" s="19"/>
      <c r="Z246" s="36"/>
    </row>
    <row r="247" spans="2:28" s="7" customFormat="1" ht="10" customHeight="1" x14ac:dyDescent="0.35">
      <c r="B247"/>
      <c r="D247" s="55" t="s">
        <v>6</v>
      </c>
      <c r="E247" s="35"/>
      <c r="J247" s="55" t="s">
        <v>10</v>
      </c>
      <c r="K247" s="18"/>
      <c r="L247" s="35"/>
      <c r="M247" s="55" t="s">
        <v>8</v>
      </c>
      <c r="N247" s="18"/>
      <c r="O247" s="35"/>
    </row>
    <row r="248" spans="2:28" s="7" customFormat="1" ht="10" customHeight="1" thickBot="1" x14ac:dyDescent="0.4">
      <c r="B248"/>
      <c r="D248" s="55" t="s">
        <v>8</v>
      </c>
      <c r="E248" s="35"/>
      <c r="J248" s="55" t="s">
        <v>153</v>
      </c>
      <c r="K248" s="18"/>
      <c r="L248" s="35"/>
      <c r="M248" s="56" t="s">
        <v>11</v>
      </c>
      <c r="N248" s="19"/>
      <c r="O248" s="36"/>
    </row>
    <row r="249" spans="2:28" s="7" customFormat="1" ht="10" customHeight="1" thickBot="1" x14ac:dyDescent="0.4">
      <c r="B249"/>
      <c r="D249" s="56" t="s">
        <v>11</v>
      </c>
      <c r="E249" s="36"/>
      <c r="J249" s="55" t="s">
        <v>6</v>
      </c>
      <c r="K249" s="18"/>
      <c r="L249" s="35"/>
    </row>
    <row r="250" spans="2:28" s="7" customFormat="1" ht="10" customHeight="1" x14ac:dyDescent="0.35">
      <c r="B250"/>
      <c r="J250" s="55" t="s">
        <v>8</v>
      </c>
      <c r="K250" s="18"/>
      <c r="L250" s="35"/>
    </row>
    <row r="251" spans="2:28" s="7" customFormat="1" ht="10" customHeight="1" thickBot="1" x14ac:dyDescent="0.4">
      <c r="B251"/>
      <c r="J251" s="56" t="s">
        <v>11</v>
      </c>
      <c r="K251" s="19"/>
      <c r="L251" s="36"/>
    </row>
    <row r="252" spans="2:28" s="7" customFormat="1" ht="10" customHeight="1" x14ac:dyDescent="0.35">
      <c r="B252"/>
    </row>
    <row r="253" spans="2:28" s="7" customFormat="1" ht="10" customHeight="1" thickBot="1" x14ac:dyDescent="0.4">
      <c r="B253"/>
      <c r="D253" s="44">
        <v>0.375</v>
      </c>
      <c r="E253" s="44">
        <v>0.38541666666666669</v>
      </c>
      <c r="F253" s="44">
        <v>0.39583333333333298</v>
      </c>
      <c r="G253" s="44">
        <v>0.40625</v>
      </c>
      <c r="H253" s="44">
        <v>0.41666666666666702</v>
      </c>
      <c r="I253" s="44">
        <v>0.4236111111111111</v>
      </c>
      <c r="J253" s="44">
        <v>0.43055555555555558</v>
      </c>
      <c r="K253" s="44">
        <v>0.4375</v>
      </c>
      <c r="L253" s="44">
        <v>0.44444444444444442</v>
      </c>
      <c r="M253" s="44">
        <v>0.45833333333333331</v>
      </c>
      <c r="N253" s="44">
        <v>0.47222222222222227</v>
      </c>
      <c r="O253" s="44">
        <v>0.4861111111111111</v>
      </c>
      <c r="P253" s="44">
        <v>0.5</v>
      </c>
      <c r="Q253" s="44">
        <v>0.51041666666666663</v>
      </c>
      <c r="R253" s="44">
        <v>0.52083333333333337</v>
      </c>
      <c r="S253" s="44">
        <v>0.53125</v>
      </c>
      <c r="T253" s="44">
        <v>0.54166666666666663</v>
      </c>
      <c r="U253" s="44">
        <v>0.55555555555555558</v>
      </c>
      <c r="V253" s="44">
        <v>0.56944444444444442</v>
      </c>
      <c r="W253" s="44">
        <v>0.58333333333333337</v>
      </c>
      <c r="X253" s="44">
        <v>0.59722222222222221</v>
      </c>
      <c r="Y253" s="44">
        <v>0.61111111111111105</v>
      </c>
      <c r="Z253" s="44">
        <v>0.625</v>
      </c>
      <c r="AA253" s="44">
        <v>0.63888888888888895</v>
      </c>
    </row>
    <row r="254" spans="2:28" s="7" customFormat="1" ht="10" customHeight="1" thickBot="1" x14ac:dyDescent="0.4">
      <c r="B254"/>
      <c r="D254" s="66" t="s">
        <v>155</v>
      </c>
      <c r="E254" s="68"/>
      <c r="F254" s="66" t="s">
        <v>200</v>
      </c>
      <c r="G254" s="68"/>
      <c r="H254" s="66" t="s">
        <v>78</v>
      </c>
      <c r="I254" s="68"/>
      <c r="J254" s="64" t="s">
        <v>109</v>
      </c>
      <c r="K254" s="67"/>
      <c r="L254" s="65"/>
      <c r="M254" s="64" t="s">
        <v>110</v>
      </c>
      <c r="N254" s="67"/>
      <c r="O254" s="65"/>
      <c r="P254" s="66" t="s">
        <v>112</v>
      </c>
      <c r="Q254" s="68"/>
      <c r="R254" s="66" t="s">
        <v>113</v>
      </c>
      <c r="S254" s="67"/>
      <c r="T254" s="64" t="s">
        <v>111</v>
      </c>
      <c r="U254" s="65"/>
      <c r="V254" s="64" t="s">
        <v>114</v>
      </c>
      <c r="W254" s="65"/>
      <c r="X254" s="64" t="s">
        <v>201</v>
      </c>
      <c r="Y254" s="65"/>
      <c r="Z254" s="46" t="s">
        <v>202</v>
      </c>
      <c r="AA254" s="47"/>
    </row>
    <row r="255" spans="2:28" s="7" customFormat="1" ht="10" customHeight="1" x14ac:dyDescent="0.35">
      <c r="B255"/>
      <c r="C255" s="7" t="s">
        <v>82</v>
      </c>
      <c r="M255" s="54" t="s">
        <v>192</v>
      </c>
      <c r="N255" s="23"/>
      <c r="O255" s="34"/>
      <c r="P255" s="54" t="s">
        <v>112</v>
      </c>
      <c r="Q255" s="34"/>
      <c r="R255" s="54" t="s">
        <v>275</v>
      </c>
      <c r="S255" s="23"/>
      <c r="T255" s="23"/>
      <c r="U255" s="23"/>
      <c r="V255" s="23"/>
      <c r="W255" s="23"/>
      <c r="X255" s="23"/>
      <c r="Y255" s="23"/>
      <c r="Z255" s="34"/>
      <c r="AB255" s="7">
        <v>4.3299999237060547</v>
      </c>
    </row>
    <row r="256" spans="2:28" s="7" customFormat="1" ht="10" customHeight="1" x14ac:dyDescent="0.35">
      <c r="B256"/>
      <c r="M256" s="55" t="s">
        <v>184</v>
      </c>
      <c r="N256" s="18"/>
      <c r="O256" s="35"/>
      <c r="P256" s="55" t="s">
        <v>182</v>
      </c>
      <c r="Q256" s="35"/>
      <c r="R256" s="55" t="s">
        <v>142</v>
      </c>
      <c r="S256" s="18"/>
      <c r="T256" s="18"/>
      <c r="U256" s="18"/>
      <c r="V256" s="18"/>
      <c r="W256" s="18"/>
      <c r="X256" s="18"/>
      <c r="Y256" s="18"/>
      <c r="Z256" s="35"/>
    </row>
    <row r="257" spans="2:26" s="7" customFormat="1" ht="10" customHeight="1" x14ac:dyDescent="0.35">
      <c r="B257"/>
      <c r="M257" s="55" t="s">
        <v>82</v>
      </c>
      <c r="N257" s="18"/>
      <c r="O257" s="35"/>
      <c r="P257" s="55" t="s">
        <v>75</v>
      </c>
      <c r="Q257" s="35"/>
      <c r="R257" s="55" t="s">
        <v>72</v>
      </c>
      <c r="S257" s="18"/>
      <c r="T257" s="18"/>
      <c r="U257" s="18"/>
      <c r="V257" s="18"/>
      <c r="W257" s="18"/>
      <c r="X257" s="18"/>
      <c r="Y257" s="18"/>
      <c r="Z257" s="35"/>
    </row>
    <row r="258" spans="2:26" s="7" customFormat="1" ht="10" customHeight="1" x14ac:dyDescent="0.35">
      <c r="B258"/>
      <c r="M258" s="55"/>
      <c r="N258" s="18"/>
      <c r="O258" s="35"/>
      <c r="P258" s="55" t="s">
        <v>79</v>
      </c>
      <c r="Q258" s="35"/>
      <c r="R258" s="55" t="s">
        <v>82</v>
      </c>
      <c r="S258" s="18"/>
      <c r="T258" s="18"/>
      <c r="U258" s="18"/>
      <c r="V258" s="18"/>
      <c r="W258" s="18"/>
      <c r="X258" s="18"/>
      <c r="Y258" s="18"/>
      <c r="Z258" s="35"/>
    </row>
    <row r="259" spans="2:26" s="7" customFormat="1" ht="10" customHeight="1" thickBot="1" x14ac:dyDescent="0.4">
      <c r="B259"/>
      <c r="M259" s="56" t="s">
        <v>6</v>
      </c>
      <c r="N259" s="19"/>
      <c r="O259" s="36"/>
      <c r="P259" s="55" t="s">
        <v>72</v>
      </c>
      <c r="Q259" s="35"/>
      <c r="R259" s="55"/>
      <c r="S259" s="18"/>
      <c r="T259" s="18"/>
      <c r="U259" s="18"/>
      <c r="V259" s="18"/>
      <c r="W259" s="18"/>
      <c r="X259" s="18"/>
      <c r="Y259" s="18"/>
      <c r="Z259" s="35"/>
    </row>
    <row r="260" spans="2:26" s="7" customFormat="1" ht="10" customHeight="1" x14ac:dyDescent="0.35">
      <c r="B260"/>
      <c r="P260" s="55" t="s">
        <v>69</v>
      </c>
      <c r="Q260" s="35"/>
      <c r="R260" s="76" t="s">
        <v>148</v>
      </c>
      <c r="S260" s="18"/>
      <c r="T260" s="18"/>
      <c r="U260" s="18"/>
      <c r="V260" s="18"/>
      <c r="W260" s="18"/>
      <c r="X260" s="18"/>
      <c r="Y260" s="18"/>
      <c r="Z260" s="35"/>
    </row>
    <row r="261" spans="2:26" s="7" customFormat="1" ht="10" customHeight="1" x14ac:dyDescent="0.35">
      <c r="B261"/>
      <c r="P261" s="55" t="s">
        <v>82</v>
      </c>
      <c r="Q261" s="35"/>
      <c r="R261" s="55" t="s">
        <v>2</v>
      </c>
      <c r="S261" s="18"/>
      <c r="T261" s="18"/>
      <c r="U261" s="18"/>
      <c r="V261" s="18"/>
      <c r="W261" s="18"/>
      <c r="X261" s="18"/>
      <c r="Y261" s="18"/>
      <c r="Z261" s="35"/>
    </row>
    <row r="262" spans="2:26" s="7" customFormat="1" ht="10" customHeight="1" thickBot="1" x14ac:dyDescent="0.4">
      <c r="B262"/>
      <c r="P262" s="55"/>
      <c r="Q262" s="35"/>
      <c r="R262" s="56" t="s">
        <v>146</v>
      </c>
      <c r="S262" s="19"/>
      <c r="T262" s="19"/>
      <c r="U262" s="19"/>
      <c r="V262" s="19"/>
      <c r="W262" s="19"/>
      <c r="X262" s="19"/>
      <c r="Y262" s="19"/>
      <c r="Z262" s="36"/>
    </row>
    <row r="263" spans="2:26" s="7" customFormat="1" ht="10" customHeight="1" x14ac:dyDescent="0.35">
      <c r="B263"/>
      <c r="P263" s="76" t="s">
        <v>148</v>
      </c>
      <c r="Q263" s="35"/>
    </row>
    <row r="264" spans="2:26" s="7" customFormat="1" ht="10" customHeight="1" x14ac:dyDescent="0.35">
      <c r="B264"/>
      <c r="P264" s="55" t="s">
        <v>2</v>
      </c>
      <c r="Q264" s="35"/>
    </row>
    <row r="265" spans="2:26" s="7" customFormat="1" ht="10" customHeight="1" x14ac:dyDescent="0.35">
      <c r="B265"/>
      <c r="P265" s="55" t="s">
        <v>146</v>
      </c>
      <c r="Q265" s="35"/>
    </row>
    <row r="266" spans="2:26" s="7" customFormat="1" ht="10" customHeight="1" x14ac:dyDescent="0.35">
      <c r="B266"/>
      <c r="P266" s="55" t="s">
        <v>150</v>
      </c>
      <c r="Q266" s="35"/>
    </row>
    <row r="267" spans="2:26" s="7" customFormat="1" ht="10" customHeight="1" x14ac:dyDescent="0.35">
      <c r="B267"/>
      <c r="P267" s="55" t="s">
        <v>3</v>
      </c>
      <c r="Q267" s="35"/>
    </row>
    <row r="268" spans="2:26" s="7" customFormat="1" ht="10" customHeight="1" x14ac:dyDescent="0.35">
      <c r="B268"/>
      <c r="P268" s="55" t="s">
        <v>4</v>
      </c>
      <c r="Q268" s="35"/>
    </row>
    <row r="269" spans="2:26" s="7" customFormat="1" ht="10" customHeight="1" x14ac:dyDescent="0.35">
      <c r="B269"/>
      <c r="P269" s="55" t="s">
        <v>1</v>
      </c>
      <c r="Q269" s="35"/>
    </row>
    <row r="270" spans="2:26" s="7" customFormat="1" ht="10" customHeight="1" x14ac:dyDescent="0.35">
      <c r="B270"/>
      <c r="P270" s="55" t="s">
        <v>147</v>
      </c>
      <c r="Q270" s="35"/>
    </row>
    <row r="271" spans="2:26" s="7" customFormat="1" ht="10" customHeight="1" x14ac:dyDescent="0.35">
      <c r="B271"/>
      <c r="P271" s="55" t="s">
        <v>10</v>
      </c>
      <c r="Q271" s="35"/>
    </row>
    <row r="272" spans="2:26" s="7" customFormat="1" ht="10" customHeight="1" x14ac:dyDescent="0.35">
      <c r="B272"/>
      <c r="P272" s="55" t="s">
        <v>153</v>
      </c>
      <c r="Q272" s="35"/>
    </row>
    <row r="273" spans="2:28" s="7" customFormat="1" ht="10" customHeight="1" x14ac:dyDescent="0.35">
      <c r="B273"/>
      <c r="P273" s="55" t="s">
        <v>6</v>
      </c>
      <c r="Q273" s="35"/>
    </row>
    <row r="274" spans="2:28" s="7" customFormat="1" ht="10" customHeight="1" x14ac:dyDescent="0.35">
      <c r="B274"/>
      <c r="P274" s="55" t="s">
        <v>8</v>
      </c>
      <c r="Q274" s="35"/>
    </row>
    <row r="275" spans="2:28" s="7" customFormat="1" ht="10" customHeight="1" x14ac:dyDescent="0.35">
      <c r="B275"/>
      <c r="P275" s="55" t="s">
        <v>11</v>
      </c>
      <c r="Q275" s="35"/>
    </row>
    <row r="276" spans="2:28" s="7" customFormat="1" ht="10" customHeight="1" thickBot="1" x14ac:dyDescent="0.4">
      <c r="B276"/>
      <c r="P276" s="56" t="s">
        <v>9</v>
      </c>
      <c r="Q276" s="36"/>
    </row>
    <row r="277" spans="2:28" s="7" customFormat="1" ht="10" customHeight="1" x14ac:dyDescent="0.35">
      <c r="B277"/>
    </row>
    <row r="278" spans="2:28" s="7" customFormat="1" ht="10" customHeight="1" thickBot="1" x14ac:dyDescent="0.4">
      <c r="B278"/>
      <c r="D278" s="44">
        <v>0.375</v>
      </c>
      <c r="E278" s="44">
        <v>0.38541666666666669</v>
      </c>
      <c r="F278" s="44">
        <v>0.39583333333333298</v>
      </c>
      <c r="G278" s="44">
        <v>0.40625</v>
      </c>
      <c r="H278" s="44">
        <v>0.41666666666666702</v>
      </c>
      <c r="I278" s="44">
        <v>0.4236111111111111</v>
      </c>
      <c r="J278" s="44">
        <v>0.43055555555555558</v>
      </c>
      <c r="K278" s="44">
        <v>0.4375</v>
      </c>
      <c r="L278" s="44">
        <v>0.44444444444444442</v>
      </c>
      <c r="M278" s="44">
        <v>0.45833333333333331</v>
      </c>
      <c r="N278" s="44">
        <v>0.47222222222222227</v>
      </c>
      <c r="O278" s="44">
        <v>0.4861111111111111</v>
      </c>
      <c r="P278" s="44">
        <v>0.5</v>
      </c>
      <c r="Q278" s="44">
        <v>0.51041666666666663</v>
      </c>
      <c r="R278" s="44">
        <v>0.52083333333333337</v>
      </c>
      <c r="S278" s="44">
        <v>0.53125</v>
      </c>
      <c r="T278" s="44">
        <v>0.54166666666666663</v>
      </c>
      <c r="U278" s="44">
        <v>0.55555555555555558</v>
      </c>
      <c r="V278" s="44">
        <v>0.56944444444444442</v>
      </c>
      <c r="W278" s="44">
        <v>0.58333333333333337</v>
      </c>
      <c r="X278" s="44">
        <v>0.59722222222222221</v>
      </c>
      <c r="Y278" s="44">
        <v>0.61111111111111105</v>
      </c>
      <c r="Z278" s="44">
        <v>0.625</v>
      </c>
      <c r="AA278" s="44">
        <v>0.63888888888888895</v>
      </c>
    </row>
    <row r="279" spans="2:28" s="7" customFormat="1" ht="10" customHeight="1" thickBot="1" x14ac:dyDescent="0.4">
      <c r="B279"/>
      <c r="D279" s="66" t="s">
        <v>155</v>
      </c>
      <c r="E279" s="68"/>
      <c r="F279" s="66" t="s">
        <v>200</v>
      </c>
      <c r="G279" s="68"/>
      <c r="H279" s="66" t="s">
        <v>78</v>
      </c>
      <c r="I279" s="68"/>
      <c r="J279" s="64" t="s">
        <v>109</v>
      </c>
      <c r="K279" s="67"/>
      <c r="L279" s="65"/>
      <c r="M279" s="64" t="s">
        <v>110</v>
      </c>
      <c r="N279" s="67"/>
      <c r="O279" s="65"/>
      <c r="P279" s="66" t="s">
        <v>112</v>
      </c>
      <c r="Q279" s="68"/>
      <c r="R279" s="66" t="s">
        <v>113</v>
      </c>
      <c r="S279" s="67"/>
      <c r="T279" s="64" t="s">
        <v>111</v>
      </c>
      <c r="U279" s="65"/>
      <c r="V279" s="64" t="s">
        <v>114</v>
      </c>
      <c r="W279" s="65"/>
      <c r="X279" s="64" t="s">
        <v>201</v>
      </c>
      <c r="Y279" s="65"/>
      <c r="Z279" s="46" t="s">
        <v>202</v>
      </c>
      <c r="AA279" s="47"/>
    </row>
    <row r="280" spans="2:28" s="7" customFormat="1" ht="10" customHeight="1" x14ac:dyDescent="0.35">
      <c r="B280"/>
      <c r="C280" s="7" t="s">
        <v>80</v>
      </c>
      <c r="D280" s="54" t="s">
        <v>162</v>
      </c>
      <c r="E280" s="23"/>
      <c r="F280" s="72" t="s">
        <v>98</v>
      </c>
      <c r="G280" s="34"/>
      <c r="J280" s="54" t="s">
        <v>7</v>
      </c>
      <c r="K280" s="23"/>
      <c r="L280" s="34"/>
      <c r="R280" s="54" t="s">
        <v>198</v>
      </c>
      <c r="S280" s="23"/>
      <c r="T280" s="23"/>
      <c r="U280" s="23"/>
      <c r="V280" s="23"/>
      <c r="W280" s="23"/>
      <c r="X280" s="23"/>
      <c r="Y280" s="23"/>
      <c r="Z280" s="34"/>
      <c r="AB280" s="7">
        <v>4.5</v>
      </c>
    </row>
    <row r="281" spans="2:28" s="7" customFormat="1" ht="10" customHeight="1" x14ac:dyDescent="0.35">
      <c r="B281"/>
      <c r="D281" s="55" t="s">
        <v>143</v>
      </c>
      <c r="E281" s="18"/>
      <c r="F281" s="73" t="s">
        <v>143</v>
      </c>
      <c r="G281" s="35"/>
      <c r="J281" s="55" t="s">
        <v>143</v>
      </c>
      <c r="K281" s="18"/>
      <c r="L281" s="35"/>
      <c r="R281" s="55" t="s">
        <v>145</v>
      </c>
      <c r="S281" s="18"/>
      <c r="T281" s="18"/>
      <c r="U281" s="18"/>
      <c r="V281" s="18"/>
      <c r="W281" s="18"/>
      <c r="X281" s="18"/>
      <c r="Y281" s="18"/>
      <c r="Z281" s="35"/>
    </row>
    <row r="282" spans="2:28" s="7" customFormat="1" ht="10" customHeight="1" x14ac:dyDescent="0.35">
      <c r="B282"/>
      <c r="D282" s="55" t="s">
        <v>80</v>
      </c>
      <c r="E282" s="18"/>
      <c r="F282" s="73" t="s">
        <v>79</v>
      </c>
      <c r="G282" s="35"/>
      <c r="J282" s="55" t="s">
        <v>79</v>
      </c>
      <c r="K282" s="18"/>
      <c r="L282" s="35"/>
      <c r="R282" s="55" t="s">
        <v>80</v>
      </c>
      <c r="S282" s="18"/>
      <c r="T282" s="18"/>
      <c r="U282" s="18"/>
      <c r="V282" s="18"/>
      <c r="W282" s="18"/>
      <c r="X282" s="18"/>
      <c r="Y282" s="18"/>
      <c r="Z282" s="35"/>
    </row>
    <row r="283" spans="2:28" s="7" customFormat="1" ht="10" customHeight="1" x14ac:dyDescent="0.35">
      <c r="B283"/>
      <c r="D283" s="55" t="s">
        <v>70</v>
      </c>
      <c r="E283" s="18"/>
      <c r="F283" s="73" t="s">
        <v>72</v>
      </c>
      <c r="G283" s="35"/>
      <c r="J283" s="55" t="s">
        <v>77</v>
      </c>
      <c r="K283" s="18"/>
      <c r="L283" s="35"/>
      <c r="R283" s="55"/>
      <c r="S283" s="18"/>
      <c r="T283" s="18"/>
      <c r="U283" s="18"/>
      <c r="V283" s="18"/>
      <c r="W283" s="18"/>
      <c r="X283" s="18"/>
      <c r="Y283" s="18"/>
      <c r="Z283" s="35"/>
    </row>
    <row r="284" spans="2:28" s="7" customFormat="1" ht="10" customHeight="1" thickBot="1" x14ac:dyDescent="0.4">
      <c r="B284"/>
      <c r="D284" s="55"/>
      <c r="E284" s="18"/>
      <c r="F284" s="73" t="s">
        <v>81</v>
      </c>
      <c r="G284" s="35"/>
      <c r="J284" s="55" t="s">
        <v>70</v>
      </c>
      <c r="K284" s="18"/>
      <c r="L284" s="35"/>
      <c r="R284" s="56" t="s">
        <v>9</v>
      </c>
      <c r="S284" s="19"/>
      <c r="T284" s="19"/>
      <c r="U284" s="19"/>
      <c r="V284" s="19"/>
      <c r="W284" s="19"/>
      <c r="X284" s="19"/>
      <c r="Y284" s="19"/>
      <c r="Z284" s="36"/>
    </row>
    <row r="285" spans="2:28" s="7" customFormat="1" ht="10" customHeight="1" x14ac:dyDescent="0.35">
      <c r="B285"/>
      <c r="D285" s="55" t="s">
        <v>10</v>
      </c>
      <c r="E285" s="18"/>
      <c r="F285" s="73" t="s">
        <v>80</v>
      </c>
      <c r="G285" s="35"/>
      <c r="J285" s="55" t="s">
        <v>80</v>
      </c>
      <c r="K285" s="18"/>
      <c r="L285" s="35"/>
    </row>
    <row r="286" spans="2:28" s="7" customFormat="1" ht="10" customHeight="1" x14ac:dyDescent="0.35">
      <c r="B286"/>
      <c r="D286" s="55" t="s">
        <v>153</v>
      </c>
      <c r="E286" s="18"/>
      <c r="F286" s="73"/>
      <c r="G286" s="35"/>
      <c r="J286" s="55"/>
      <c r="K286" s="18"/>
      <c r="L286" s="35"/>
    </row>
    <row r="287" spans="2:28" s="7" customFormat="1" ht="10" customHeight="1" x14ac:dyDescent="0.35">
      <c r="B287"/>
      <c r="D287" s="55" t="s">
        <v>6</v>
      </c>
      <c r="E287" s="18"/>
      <c r="F287" s="73" t="s">
        <v>2</v>
      </c>
      <c r="G287" s="35"/>
      <c r="J287" s="55" t="s">
        <v>10</v>
      </c>
      <c r="K287" s="18"/>
      <c r="L287" s="35"/>
    </row>
    <row r="288" spans="2:28" s="7" customFormat="1" ht="10" customHeight="1" x14ac:dyDescent="0.35">
      <c r="B288"/>
      <c r="D288" s="55" t="s">
        <v>8</v>
      </c>
      <c r="E288" s="18"/>
      <c r="F288" s="73" t="s">
        <v>146</v>
      </c>
      <c r="G288" s="35"/>
      <c r="J288" s="55" t="s">
        <v>153</v>
      </c>
      <c r="K288" s="18"/>
      <c r="L288" s="35"/>
    </row>
    <row r="289" spans="2:28" s="7" customFormat="1" ht="10" customHeight="1" thickBot="1" x14ac:dyDescent="0.4">
      <c r="B289"/>
      <c r="D289" s="56" t="s">
        <v>11</v>
      </c>
      <c r="E289" s="19"/>
      <c r="F289" s="73" t="s">
        <v>1</v>
      </c>
      <c r="G289" s="35"/>
      <c r="J289" s="55" t="s">
        <v>6</v>
      </c>
      <c r="K289" s="18"/>
      <c r="L289" s="35"/>
    </row>
    <row r="290" spans="2:28" s="7" customFormat="1" ht="10" customHeight="1" x14ac:dyDescent="0.35">
      <c r="B290"/>
      <c r="F290" s="73" t="s">
        <v>147</v>
      </c>
      <c r="G290" s="35"/>
      <c r="J290" s="55" t="s">
        <v>8</v>
      </c>
      <c r="K290" s="18"/>
      <c r="L290" s="35"/>
    </row>
    <row r="291" spans="2:28" s="7" customFormat="1" ht="10" customHeight="1" thickBot="1" x14ac:dyDescent="0.4">
      <c r="B291"/>
      <c r="F291" s="73" t="s">
        <v>10</v>
      </c>
      <c r="G291" s="35"/>
      <c r="J291" s="56" t="s">
        <v>11</v>
      </c>
      <c r="K291" s="19"/>
      <c r="L291" s="36"/>
    </row>
    <row r="292" spans="2:28" s="7" customFormat="1" ht="10" customHeight="1" thickBot="1" x14ac:dyDescent="0.4">
      <c r="B292"/>
      <c r="F292" s="74" t="s">
        <v>6</v>
      </c>
      <c r="G292" s="36"/>
    </row>
    <row r="293" spans="2:28" s="7" customFormat="1" ht="10" customHeight="1" x14ac:dyDescent="0.35">
      <c r="B293"/>
    </row>
    <row r="294" spans="2:28" s="7" customFormat="1" ht="10" customHeight="1" thickBot="1" x14ac:dyDescent="0.4">
      <c r="B294"/>
      <c r="D294" s="44">
        <v>0.375</v>
      </c>
      <c r="E294" s="44">
        <v>0.38541666666666669</v>
      </c>
      <c r="F294" s="44">
        <v>0.39583333333333298</v>
      </c>
      <c r="G294" s="44">
        <v>0.40625</v>
      </c>
      <c r="H294" s="44">
        <v>0.41666666666666702</v>
      </c>
      <c r="I294" s="44">
        <v>0.4236111111111111</v>
      </c>
      <c r="J294" s="44">
        <v>0.43055555555555558</v>
      </c>
      <c r="K294" s="44">
        <v>0.4375</v>
      </c>
      <c r="L294" s="44">
        <v>0.44444444444444442</v>
      </c>
      <c r="M294" s="44">
        <v>0.45833333333333331</v>
      </c>
      <c r="N294" s="44">
        <v>0.47222222222222227</v>
      </c>
      <c r="O294" s="44">
        <v>0.4861111111111111</v>
      </c>
      <c r="P294" s="44">
        <v>0.5</v>
      </c>
      <c r="Q294" s="44">
        <v>0.51041666666666663</v>
      </c>
      <c r="R294" s="44">
        <v>0.52083333333333337</v>
      </c>
      <c r="S294" s="44">
        <v>0.53125</v>
      </c>
      <c r="T294" s="44">
        <v>0.54166666666666663</v>
      </c>
      <c r="U294" s="44">
        <v>0.55555555555555558</v>
      </c>
      <c r="V294" s="44">
        <v>0.56944444444444442</v>
      </c>
      <c r="W294" s="44">
        <v>0.58333333333333337</v>
      </c>
      <c r="X294" s="44">
        <v>0.59722222222222221</v>
      </c>
      <c r="Y294" s="44">
        <v>0.61111111111111105</v>
      </c>
      <c r="Z294" s="44">
        <v>0.625</v>
      </c>
      <c r="AA294" s="44">
        <v>0.63888888888888895</v>
      </c>
    </row>
    <row r="295" spans="2:28" s="7" customFormat="1" ht="10" customHeight="1" thickBot="1" x14ac:dyDescent="0.4">
      <c r="B295"/>
      <c r="D295" s="66" t="s">
        <v>155</v>
      </c>
      <c r="E295" s="68"/>
      <c r="F295" s="66" t="s">
        <v>200</v>
      </c>
      <c r="G295" s="68"/>
      <c r="H295" s="66" t="s">
        <v>78</v>
      </c>
      <c r="I295" s="68"/>
      <c r="J295" s="64" t="s">
        <v>109</v>
      </c>
      <c r="K295" s="67"/>
      <c r="L295" s="65"/>
      <c r="M295" s="64" t="s">
        <v>110</v>
      </c>
      <c r="N295" s="67"/>
      <c r="O295" s="65"/>
      <c r="P295" s="66" t="s">
        <v>112</v>
      </c>
      <c r="Q295" s="68"/>
      <c r="R295" s="66" t="s">
        <v>113</v>
      </c>
      <c r="S295" s="67"/>
      <c r="T295" s="64" t="s">
        <v>111</v>
      </c>
      <c r="U295" s="65"/>
      <c r="V295" s="64" t="s">
        <v>114</v>
      </c>
      <c r="W295" s="65"/>
      <c r="X295" s="64" t="s">
        <v>201</v>
      </c>
      <c r="Y295" s="65"/>
      <c r="Z295" s="46" t="s">
        <v>202</v>
      </c>
      <c r="AA295" s="47"/>
    </row>
    <row r="296" spans="2:28" s="7" customFormat="1" ht="10" customHeight="1" x14ac:dyDescent="0.35">
      <c r="B296"/>
      <c r="C296" s="7" t="s">
        <v>81</v>
      </c>
      <c r="D296" s="54" t="s">
        <v>160</v>
      </c>
      <c r="E296" s="23"/>
      <c r="F296" s="72" t="s">
        <v>98</v>
      </c>
      <c r="G296" s="34"/>
      <c r="J296" s="54" t="s">
        <v>5</v>
      </c>
      <c r="K296" s="23"/>
      <c r="L296" s="23"/>
      <c r="M296" s="23"/>
      <c r="N296" s="23"/>
      <c r="O296" s="34"/>
      <c r="R296" s="54" t="s">
        <v>198</v>
      </c>
      <c r="S296" s="23"/>
      <c r="T296" s="23"/>
      <c r="U296" s="23"/>
      <c r="V296" s="23"/>
      <c r="W296" s="23"/>
      <c r="X296" s="23"/>
      <c r="Y296" s="23"/>
      <c r="Z296" s="34"/>
      <c r="AB296" s="7">
        <v>5.5</v>
      </c>
    </row>
    <row r="297" spans="2:28" s="7" customFormat="1" ht="10" customHeight="1" x14ac:dyDescent="0.35">
      <c r="B297"/>
      <c r="D297" s="55" t="s">
        <v>142</v>
      </c>
      <c r="E297" s="18"/>
      <c r="F297" s="73" t="s">
        <v>143</v>
      </c>
      <c r="G297" s="35"/>
      <c r="J297" s="55" t="s">
        <v>142</v>
      </c>
      <c r="K297" s="18"/>
      <c r="L297" s="18"/>
      <c r="M297" s="18"/>
      <c r="N297" s="18"/>
      <c r="O297" s="35"/>
      <c r="R297" s="55" t="s">
        <v>145</v>
      </c>
      <c r="S297" s="18"/>
      <c r="T297" s="18"/>
      <c r="U297" s="18"/>
      <c r="V297" s="18"/>
      <c r="W297" s="18"/>
      <c r="X297" s="18"/>
      <c r="Y297" s="18"/>
      <c r="Z297" s="35"/>
    </row>
    <row r="298" spans="2:28" s="7" customFormat="1" ht="10" customHeight="1" x14ac:dyDescent="0.35">
      <c r="B298"/>
      <c r="D298" s="55" t="s">
        <v>72</v>
      </c>
      <c r="E298" s="18"/>
      <c r="F298" s="73" t="s">
        <v>79</v>
      </c>
      <c r="G298" s="35"/>
      <c r="J298" s="55" t="s">
        <v>73</v>
      </c>
      <c r="K298" s="18"/>
      <c r="L298" s="18"/>
      <c r="M298" s="18"/>
      <c r="N298" s="18"/>
      <c r="O298" s="35"/>
      <c r="R298" s="55" t="s">
        <v>81</v>
      </c>
      <c r="S298" s="18"/>
      <c r="T298" s="18"/>
      <c r="U298" s="18"/>
      <c r="V298" s="18"/>
      <c r="W298" s="18"/>
      <c r="X298" s="18"/>
      <c r="Y298" s="18"/>
      <c r="Z298" s="35"/>
    </row>
    <row r="299" spans="2:28" s="7" customFormat="1" ht="10" customHeight="1" x14ac:dyDescent="0.35">
      <c r="B299"/>
      <c r="D299" s="55" t="s">
        <v>81</v>
      </c>
      <c r="E299" s="18"/>
      <c r="F299" s="73" t="s">
        <v>72</v>
      </c>
      <c r="G299" s="35"/>
      <c r="J299" s="55" t="s">
        <v>72</v>
      </c>
      <c r="K299" s="18"/>
      <c r="L299" s="18"/>
      <c r="M299" s="18"/>
      <c r="N299" s="18"/>
      <c r="O299" s="35"/>
      <c r="R299" s="55"/>
      <c r="S299" s="18"/>
      <c r="T299" s="18"/>
      <c r="U299" s="18"/>
      <c r="V299" s="18"/>
      <c r="W299" s="18"/>
      <c r="X299" s="18"/>
      <c r="Y299" s="18"/>
      <c r="Z299" s="35"/>
    </row>
    <row r="300" spans="2:28" s="7" customFormat="1" ht="10" customHeight="1" thickBot="1" x14ac:dyDescent="0.4">
      <c r="B300"/>
      <c r="D300" s="55" t="s">
        <v>157</v>
      </c>
      <c r="E300" s="18"/>
      <c r="F300" s="73" t="s">
        <v>81</v>
      </c>
      <c r="G300" s="35"/>
      <c r="J300" s="55" t="s">
        <v>81</v>
      </c>
      <c r="K300" s="18"/>
      <c r="L300" s="18"/>
      <c r="M300" s="18"/>
      <c r="N300" s="18"/>
      <c r="O300" s="35"/>
      <c r="R300" s="56" t="s">
        <v>153</v>
      </c>
      <c r="S300" s="19"/>
      <c r="T300" s="19"/>
      <c r="U300" s="19"/>
      <c r="V300" s="19"/>
      <c r="W300" s="19"/>
      <c r="X300" s="19"/>
      <c r="Y300" s="19"/>
      <c r="Z300" s="36"/>
    </row>
    <row r="301" spans="2:28" s="7" customFormat="1" ht="10" customHeight="1" x14ac:dyDescent="0.35">
      <c r="B301"/>
      <c r="D301" s="55"/>
      <c r="E301" s="18"/>
      <c r="F301" s="73" t="s">
        <v>80</v>
      </c>
      <c r="G301" s="35"/>
      <c r="J301" s="55" t="s">
        <v>157</v>
      </c>
      <c r="K301" s="18"/>
      <c r="L301" s="18"/>
      <c r="M301" s="18"/>
      <c r="N301" s="18"/>
      <c r="O301" s="35"/>
    </row>
    <row r="302" spans="2:28" s="7" customFormat="1" ht="10" customHeight="1" x14ac:dyDescent="0.35">
      <c r="B302"/>
      <c r="D302" s="55" t="s">
        <v>3</v>
      </c>
      <c r="E302" s="18"/>
      <c r="F302" s="73"/>
      <c r="G302" s="35"/>
      <c r="J302" s="55"/>
      <c r="K302" s="18"/>
      <c r="L302" s="18"/>
      <c r="M302" s="18"/>
      <c r="N302" s="18"/>
      <c r="O302" s="35"/>
    </row>
    <row r="303" spans="2:28" s="7" customFormat="1" ht="10" customHeight="1" x14ac:dyDescent="0.35">
      <c r="B303"/>
      <c r="D303" s="55" t="s">
        <v>4</v>
      </c>
      <c r="E303" s="18"/>
      <c r="F303" s="73" t="s">
        <v>2</v>
      </c>
      <c r="G303" s="35"/>
      <c r="J303" s="55" t="s">
        <v>148</v>
      </c>
      <c r="K303" s="18"/>
      <c r="L303" s="18"/>
      <c r="M303" s="18"/>
      <c r="N303" s="18"/>
      <c r="O303" s="35"/>
    </row>
    <row r="304" spans="2:28" s="7" customFormat="1" ht="10" customHeight="1" x14ac:dyDescent="0.35">
      <c r="B304"/>
      <c r="D304" s="55" t="s">
        <v>1</v>
      </c>
      <c r="E304" s="18"/>
      <c r="F304" s="73" t="s">
        <v>146</v>
      </c>
      <c r="G304" s="35"/>
      <c r="J304" s="55" t="s">
        <v>2</v>
      </c>
      <c r="K304" s="18"/>
      <c r="L304" s="18"/>
      <c r="M304" s="18"/>
      <c r="N304" s="18"/>
      <c r="O304" s="35"/>
    </row>
    <row r="305" spans="2:28" s="7" customFormat="1" ht="10" customHeight="1" thickBot="1" x14ac:dyDescent="0.4">
      <c r="B305"/>
      <c r="D305" s="56" t="s">
        <v>147</v>
      </c>
      <c r="E305" s="19"/>
      <c r="F305" s="73" t="s">
        <v>1</v>
      </c>
      <c r="G305" s="35"/>
      <c r="J305" s="55" t="s">
        <v>146</v>
      </c>
      <c r="K305" s="18"/>
      <c r="L305" s="18"/>
      <c r="M305" s="18"/>
      <c r="N305" s="18"/>
      <c r="O305" s="35"/>
    </row>
    <row r="306" spans="2:28" s="7" customFormat="1" ht="10" customHeight="1" thickBot="1" x14ac:dyDescent="0.4">
      <c r="B306"/>
      <c r="F306" s="73" t="s">
        <v>147</v>
      </c>
      <c r="G306" s="35"/>
      <c r="J306" s="56" t="s">
        <v>150</v>
      </c>
      <c r="K306" s="19"/>
      <c r="L306" s="19"/>
      <c r="M306" s="19"/>
      <c r="N306" s="19"/>
      <c r="O306" s="36"/>
    </row>
    <row r="307" spans="2:28" s="7" customFormat="1" ht="10" customHeight="1" x14ac:dyDescent="0.35">
      <c r="B307"/>
      <c r="F307" s="73" t="s">
        <v>10</v>
      </c>
      <c r="G307" s="35"/>
    </row>
    <row r="308" spans="2:28" s="7" customFormat="1" ht="10" customHeight="1" thickBot="1" x14ac:dyDescent="0.4">
      <c r="B308"/>
      <c r="F308" s="74" t="s">
        <v>6</v>
      </c>
      <c r="G308" s="36"/>
    </row>
    <row r="309" spans="2:28" s="7" customFormat="1" ht="10" customHeight="1" x14ac:dyDescent="0.35">
      <c r="B309"/>
    </row>
    <row r="310" spans="2:28" s="7" customFormat="1" ht="10" customHeight="1" thickBot="1" x14ac:dyDescent="0.4">
      <c r="B310"/>
      <c r="D310" s="44">
        <v>0.375</v>
      </c>
      <c r="E310" s="44">
        <v>0.38541666666666669</v>
      </c>
      <c r="F310" s="44">
        <v>0.39583333333333298</v>
      </c>
      <c r="G310" s="44">
        <v>0.40625</v>
      </c>
      <c r="H310" s="44">
        <v>0.41666666666666702</v>
      </c>
      <c r="I310" s="44">
        <v>0.4236111111111111</v>
      </c>
      <c r="J310" s="44">
        <v>0.43055555555555558</v>
      </c>
      <c r="K310" s="44">
        <v>0.4375</v>
      </c>
      <c r="L310" s="44">
        <v>0.44444444444444442</v>
      </c>
      <c r="M310" s="44">
        <v>0.45833333333333331</v>
      </c>
      <c r="N310" s="44">
        <v>0.47222222222222227</v>
      </c>
      <c r="O310" s="44">
        <v>0.4861111111111111</v>
      </c>
      <c r="P310" s="44">
        <v>0.5</v>
      </c>
      <c r="Q310" s="44">
        <v>0.51041666666666663</v>
      </c>
      <c r="R310" s="44">
        <v>0.52083333333333337</v>
      </c>
      <c r="S310" s="44">
        <v>0.53125</v>
      </c>
      <c r="T310" s="44">
        <v>0.54166666666666663</v>
      </c>
      <c r="U310" s="44">
        <v>0.55555555555555558</v>
      </c>
      <c r="V310" s="44">
        <v>0.56944444444444442</v>
      </c>
      <c r="W310" s="44">
        <v>0.58333333333333337</v>
      </c>
      <c r="X310" s="44">
        <v>0.59722222222222221</v>
      </c>
      <c r="Y310" s="44">
        <v>0.61111111111111105</v>
      </c>
      <c r="Z310" s="44">
        <v>0.625</v>
      </c>
      <c r="AA310" s="44">
        <v>0.63888888888888895</v>
      </c>
    </row>
    <row r="311" spans="2:28" s="7" customFormat="1" ht="10" customHeight="1" thickBot="1" x14ac:dyDescent="0.4">
      <c r="B311"/>
      <c r="D311" s="66" t="s">
        <v>155</v>
      </c>
      <c r="E311" s="68"/>
      <c r="F311" s="66" t="s">
        <v>200</v>
      </c>
      <c r="G311" s="68"/>
      <c r="H311" s="66" t="s">
        <v>78</v>
      </c>
      <c r="I311" s="68"/>
      <c r="J311" s="64" t="s">
        <v>109</v>
      </c>
      <c r="K311" s="67"/>
      <c r="L311" s="65"/>
      <c r="M311" s="64" t="s">
        <v>110</v>
      </c>
      <c r="N311" s="67"/>
      <c r="O311" s="65"/>
      <c r="P311" s="66" t="s">
        <v>112</v>
      </c>
      <c r="Q311" s="68"/>
      <c r="R311" s="66" t="s">
        <v>113</v>
      </c>
      <c r="S311" s="67"/>
      <c r="T311" s="64" t="s">
        <v>111</v>
      </c>
      <c r="U311" s="65"/>
      <c r="V311" s="64" t="s">
        <v>114</v>
      </c>
      <c r="W311" s="65"/>
      <c r="X311" s="64" t="s">
        <v>201</v>
      </c>
      <c r="Y311" s="65"/>
      <c r="Z311" s="46" t="s">
        <v>202</v>
      </c>
      <c r="AA311" s="47"/>
    </row>
    <row r="312" spans="2:28" s="7" customFormat="1" ht="10" customHeight="1" x14ac:dyDescent="0.35">
      <c r="B312"/>
      <c r="C312" s="7" t="s">
        <v>100</v>
      </c>
      <c r="F312" s="54" t="s">
        <v>13</v>
      </c>
      <c r="G312" s="23"/>
      <c r="H312" s="23"/>
      <c r="I312" s="23"/>
      <c r="J312" s="23"/>
      <c r="K312" s="23"/>
      <c r="L312" s="23"/>
      <c r="M312" s="23"/>
      <c r="N312" s="23"/>
      <c r="O312" s="34"/>
      <c r="P312" s="54" t="s">
        <v>112</v>
      </c>
      <c r="Q312" s="23"/>
      <c r="R312" s="23"/>
      <c r="S312" s="34"/>
      <c r="T312" s="54" t="s">
        <v>216</v>
      </c>
      <c r="U312" s="23"/>
      <c r="V312" s="23"/>
      <c r="W312" s="23"/>
      <c r="X312" s="23"/>
      <c r="Y312" s="23"/>
      <c r="Z312" s="34"/>
      <c r="AB312" s="7">
        <v>5.8299999237060547</v>
      </c>
    </row>
    <row r="313" spans="2:28" s="7" customFormat="1" ht="10" customHeight="1" x14ac:dyDescent="0.35">
      <c r="B313"/>
      <c r="F313" s="55" t="s">
        <v>144</v>
      </c>
      <c r="G313" s="18"/>
      <c r="H313" s="18"/>
      <c r="I313" s="18"/>
      <c r="J313" s="18"/>
      <c r="K313" s="18"/>
      <c r="L313" s="18"/>
      <c r="M313" s="18"/>
      <c r="N313" s="18"/>
      <c r="O313" s="35"/>
      <c r="P313" s="55" t="s">
        <v>144</v>
      </c>
      <c r="Q313" s="18"/>
      <c r="R313" s="18"/>
      <c r="S313" s="35"/>
      <c r="T313" s="55" t="s">
        <v>145</v>
      </c>
      <c r="U313" s="18"/>
      <c r="V313" s="18"/>
      <c r="W313" s="18"/>
      <c r="X313" s="18"/>
      <c r="Y313" s="18"/>
      <c r="Z313" s="35"/>
    </row>
    <row r="314" spans="2:28" s="7" customFormat="1" ht="10" customHeight="1" x14ac:dyDescent="0.35">
      <c r="B314"/>
      <c r="F314" s="55" t="s">
        <v>83</v>
      </c>
      <c r="G314" s="18"/>
      <c r="H314" s="18"/>
      <c r="I314" s="18"/>
      <c r="J314" s="18"/>
      <c r="K314" s="18"/>
      <c r="L314" s="18"/>
      <c r="M314" s="18"/>
      <c r="N314" s="18"/>
      <c r="O314" s="35"/>
      <c r="P314" s="55" t="s">
        <v>100</v>
      </c>
      <c r="Q314" s="18"/>
      <c r="R314" s="18"/>
      <c r="S314" s="35"/>
      <c r="T314" s="55" t="s">
        <v>100</v>
      </c>
      <c r="U314" s="18"/>
      <c r="V314" s="18"/>
      <c r="W314" s="18"/>
      <c r="X314" s="18"/>
      <c r="Y314" s="18"/>
      <c r="Z314" s="35"/>
    </row>
    <row r="315" spans="2:28" s="7" customFormat="1" ht="10" customHeight="1" x14ac:dyDescent="0.35">
      <c r="B315"/>
      <c r="F315" s="55" t="s">
        <v>100</v>
      </c>
      <c r="G315" s="18"/>
      <c r="H315" s="18"/>
      <c r="I315" s="18"/>
      <c r="J315" s="18"/>
      <c r="K315" s="18"/>
      <c r="L315" s="18"/>
      <c r="M315" s="18"/>
      <c r="N315" s="18"/>
      <c r="O315" s="35"/>
      <c r="P315" s="55" t="s">
        <v>99</v>
      </c>
      <c r="Q315" s="18"/>
      <c r="R315" s="18"/>
      <c r="S315" s="35"/>
      <c r="T315" s="55" t="s">
        <v>99</v>
      </c>
      <c r="U315" s="18"/>
      <c r="V315" s="18"/>
      <c r="W315" s="18"/>
      <c r="X315" s="18"/>
      <c r="Y315" s="18"/>
      <c r="Z315" s="35"/>
    </row>
    <row r="316" spans="2:28" s="7" customFormat="1" ht="10" customHeight="1" x14ac:dyDescent="0.35">
      <c r="B316"/>
      <c r="F316" s="55"/>
      <c r="G316" s="18"/>
      <c r="H316" s="18"/>
      <c r="I316" s="18"/>
      <c r="J316" s="18"/>
      <c r="K316" s="18"/>
      <c r="L316" s="18"/>
      <c r="M316" s="18"/>
      <c r="N316" s="18"/>
      <c r="O316" s="35"/>
      <c r="P316" s="55"/>
      <c r="Q316" s="18"/>
      <c r="R316" s="18"/>
      <c r="S316" s="35"/>
      <c r="T316" s="55"/>
      <c r="U316" s="18"/>
      <c r="V316" s="18"/>
      <c r="W316" s="18"/>
      <c r="X316" s="18"/>
      <c r="Y316" s="18"/>
      <c r="Z316" s="35"/>
    </row>
    <row r="317" spans="2:28" s="7" customFormat="1" ht="10" customHeight="1" thickBot="1" x14ac:dyDescent="0.4">
      <c r="B317"/>
      <c r="F317" s="56" t="s">
        <v>303</v>
      </c>
      <c r="G317" s="19"/>
      <c r="H317" s="19"/>
      <c r="I317" s="19"/>
      <c r="J317" s="19"/>
      <c r="K317" s="19"/>
      <c r="L317" s="19"/>
      <c r="M317" s="19"/>
      <c r="N317" s="19"/>
      <c r="O317" s="36"/>
      <c r="P317" s="56" t="s">
        <v>303</v>
      </c>
      <c r="Q317" s="19"/>
      <c r="R317" s="19"/>
      <c r="S317" s="36"/>
      <c r="T317" s="56" t="s">
        <v>303</v>
      </c>
      <c r="U317" s="19"/>
      <c r="V317" s="19"/>
      <c r="W317" s="19"/>
      <c r="X317" s="19"/>
      <c r="Y317" s="19"/>
      <c r="Z317" s="36"/>
    </row>
    <row r="318" spans="2:28" s="7" customFormat="1" ht="10" customHeight="1" x14ac:dyDescent="0.35">
      <c r="B318"/>
    </row>
    <row r="319" spans="2:28" s="7" customFormat="1" ht="10" customHeight="1" thickBot="1" x14ac:dyDescent="0.4">
      <c r="B319"/>
      <c r="D319" s="44">
        <v>0.375</v>
      </c>
      <c r="E319" s="44">
        <v>0.38541666666666669</v>
      </c>
      <c r="F319" s="44">
        <v>0.39583333333333298</v>
      </c>
      <c r="G319" s="44">
        <v>0.40625</v>
      </c>
      <c r="H319" s="44">
        <v>0.41666666666666702</v>
      </c>
      <c r="I319" s="44">
        <v>0.4236111111111111</v>
      </c>
      <c r="J319" s="44">
        <v>0.43055555555555558</v>
      </c>
      <c r="K319" s="44">
        <v>0.4375</v>
      </c>
      <c r="L319" s="44">
        <v>0.44444444444444442</v>
      </c>
      <c r="M319" s="44">
        <v>0.45833333333333331</v>
      </c>
      <c r="N319" s="44">
        <v>0.47222222222222227</v>
      </c>
      <c r="O319" s="44">
        <v>0.4861111111111111</v>
      </c>
      <c r="P319" s="44">
        <v>0.5</v>
      </c>
      <c r="Q319" s="44">
        <v>0.51041666666666663</v>
      </c>
      <c r="R319" s="44">
        <v>0.52083333333333337</v>
      </c>
      <c r="S319" s="44">
        <v>0.53125</v>
      </c>
      <c r="T319" s="44">
        <v>0.54166666666666663</v>
      </c>
      <c r="U319" s="44">
        <v>0.55555555555555558</v>
      </c>
      <c r="V319" s="44">
        <v>0.56944444444444442</v>
      </c>
      <c r="W319" s="44">
        <v>0.58333333333333337</v>
      </c>
      <c r="X319" s="44">
        <v>0.59722222222222221</v>
      </c>
      <c r="Y319" s="44">
        <v>0.61111111111111105</v>
      </c>
      <c r="Z319" s="44">
        <v>0.625</v>
      </c>
      <c r="AA319" s="44">
        <v>0.63888888888888895</v>
      </c>
    </row>
    <row r="320" spans="2:28" s="7" customFormat="1" ht="10" customHeight="1" thickBot="1" x14ac:dyDescent="0.4">
      <c r="B320"/>
      <c r="D320" s="66" t="s">
        <v>155</v>
      </c>
      <c r="E320" s="68"/>
      <c r="F320" s="66" t="s">
        <v>200</v>
      </c>
      <c r="G320" s="68"/>
      <c r="H320" s="66" t="s">
        <v>78</v>
      </c>
      <c r="I320" s="68"/>
      <c r="J320" s="64" t="s">
        <v>109</v>
      </c>
      <c r="K320" s="67"/>
      <c r="L320" s="65"/>
      <c r="M320" s="64" t="s">
        <v>110</v>
      </c>
      <c r="N320" s="67"/>
      <c r="O320" s="65"/>
      <c r="P320" s="66" t="s">
        <v>112</v>
      </c>
      <c r="Q320" s="68"/>
      <c r="R320" s="66" t="s">
        <v>113</v>
      </c>
      <c r="S320" s="67"/>
      <c r="T320" s="64" t="s">
        <v>111</v>
      </c>
      <c r="U320" s="65"/>
      <c r="V320" s="64" t="s">
        <v>114</v>
      </c>
      <c r="W320" s="65"/>
      <c r="X320" s="64" t="s">
        <v>201</v>
      </c>
      <c r="Y320" s="65"/>
      <c r="Z320" s="46" t="s">
        <v>202</v>
      </c>
      <c r="AA320" s="47"/>
    </row>
    <row r="321" spans="2:28" s="7" customFormat="1" ht="10" customHeight="1" x14ac:dyDescent="0.35">
      <c r="B321"/>
      <c r="C321" s="7" t="s">
        <v>99</v>
      </c>
      <c r="F321" s="54" t="s">
        <v>97</v>
      </c>
      <c r="G321" s="34"/>
      <c r="P321" s="54" t="s">
        <v>112</v>
      </c>
      <c r="Q321" s="23"/>
      <c r="R321" s="23"/>
      <c r="S321" s="34"/>
      <c r="T321" s="54" t="s">
        <v>216</v>
      </c>
      <c r="U321" s="23"/>
      <c r="V321" s="23"/>
      <c r="W321" s="23"/>
      <c r="X321" s="23"/>
      <c r="Y321" s="23"/>
      <c r="Z321" s="34"/>
      <c r="AB321" s="7">
        <v>3.8299999237060547</v>
      </c>
    </row>
    <row r="322" spans="2:28" s="7" customFormat="1" ht="10" customHeight="1" x14ac:dyDescent="0.35">
      <c r="B322"/>
      <c r="F322" s="55" t="s">
        <v>141</v>
      </c>
      <c r="G322" s="35"/>
      <c r="P322" s="55" t="s">
        <v>144</v>
      </c>
      <c r="Q322" s="18"/>
      <c r="R322" s="18"/>
      <c r="S322" s="35"/>
      <c r="T322" s="55" t="s">
        <v>145</v>
      </c>
      <c r="U322" s="18"/>
      <c r="V322" s="18"/>
      <c r="W322" s="18"/>
      <c r="X322" s="18"/>
      <c r="Y322" s="18"/>
      <c r="Z322" s="35"/>
    </row>
    <row r="323" spans="2:28" s="7" customFormat="1" ht="10" customHeight="1" x14ac:dyDescent="0.35">
      <c r="B323"/>
      <c r="F323" s="55" t="s">
        <v>75</v>
      </c>
      <c r="G323" s="35"/>
      <c r="P323" s="55" t="s">
        <v>100</v>
      </c>
      <c r="Q323" s="18"/>
      <c r="R323" s="18"/>
      <c r="S323" s="35"/>
      <c r="T323" s="55" t="s">
        <v>100</v>
      </c>
      <c r="U323" s="18"/>
      <c r="V323" s="18"/>
      <c r="W323" s="18"/>
      <c r="X323" s="18"/>
      <c r="Y323" s="18"/>
      <c r="Z323" s="35"/>
    </row>
    <row r="324" spans="2:28" s="7" customFormat="1" ht="10" customHeight="1" x14ac:dyDescent="0.35">
      <c r="B324"/>
      <c r="F324" s="55" t="s">
        <v>71</v>
      </c>
      <c r="G324" s="35"/>
      <c r="P324" s="55" t="s">
        <v>99</v>
      </c>
      <c r="Q324" s="18"/>
      <c r="R324" s="18"/>
      <c r="S324" s="35"/>
      <c r="T324" s="55" t="s">
        <v>99</v>
      </c>
      <c r="U324" s="18"/>
      <c r="V324" s="18"/>
      <c r="W324" s="18"/>
      <c r="X324" s="18"/>
      <c r="Y324" s="18"/>
      <c r="Z324" s="35"/>
    </row>
    <row r="325" spans="2:28" s="7" customFormat="1" ht="10" customHeight="1" x14ac:dyDescent="0.35">
      <c r="B325"/>
      <c r="F325" s="55" t="s">
        <v>69</v>
      </c>
      <c r="G325" s="35"/>
      <c r="P325" s="55"/>
      <c r="Q325" s="18"/>
      <c r="R325" s="18"/>
      <c r="S325" s="35"/>
      <c r="T325" s="55"/>
      <c r="U325" s="18"/>
      <c r="V325" s="18"/>
      <c r="W325" s="18"/>
      <c r="X325" s="18"/>
      <c r="Y325" s="18"/>
      <c r="Z325" s="35"/>
    </row>
    <row r="326" spans="2:28" s="7" customFormat="1" ht="10" customHeight="1" thickBot="1" x14ac:dyDescent="0.4">
      <c r="B326"/>
      <c r="F326" s="55" t="s">
        <v>99</v>
      </c>
      <c r="G326" s="35"/>
      <c r="P326" s="56" t="s">
        <v>303</v>
      </c>
      <c r="Q326" s="19"/>
      <c r="R326" s="19"/>
      <c r="S326" s="36"/>
      <c r="T326" s="56" t="s">
        <v>303</v>
      </c>
      <c r="U326" s="19"/>
      <c r="V326" s="19"/>
      <c r="W326" s="19"/>
      <c r="X326" s="19"/>
      <c r="Y326" s="19"/>
      <c r="Z326" s="36"/>
    </row>
    <row r="327" spans="2:28" s="7" customFormat="1" ht="10" customHeight="1" x14ac:dyDescent="0.35">
      <c r="B327"/>
      <c r="F327" s="55" t="s">
        <v>157</v>
      </c>
      <c r="G327" s="35"/>
    </row>
    <row r="328" spans="2:28" s="7" customFormat="1" ht="10" customHeight="1" x14ac:dyDescent="0.35">
      <c r="B328"/>
      <c r="F328" s="55"/>
      <c r="G328" s="35"/>
    </row>
    <row r="329" spans="2:28" s="7" customFormat="1" ht="10" customHeight="1" x14ac:dyDescent="0.35">
      <c r="B329"/>
      <c r="F329" s="55" t="s">
        <v>148</v>
      </c>
      <c r="G329" s="35"/>
    </row>
    <row r="330" spans="2:28" s="7" customFormat="1" ht="10" customHeight="1" x14ac:dyDescent="0.35">
      <c r="B330"/>
      <c r="F330" s="55" t="s">
        <v>150</v>
      </c>
      <c r="G330" s="35"/>
    </row>
    <row r="331" spans="2:28" s="7" customFormat="1" ht="10" customHeight="1" x14ac:dyDescent="0.35">
      <c r="B331"/>
      <c r="F331" s="55" t="s">
        <v>3</v>
      </c>
      <c r="G331" s="35"/>
    </row>
    <row r="332" spans="2:28" s="7" customFormat="1" ht="10" customHeight="1" x14ac:dyDescent="0.35">
      <c r="B332"/>
      <c r="F332" s="55" t="s">
        <v>4</v>
      </c>
      <c r="G332" s="35"/>
    </row>
    <row r="333" spans="2:28" s="7" customFormat="1" ht="10" customHeight="1" x14ac:dyDescent="0.35">
      <c r="B333"/>
      <c r="F333" s="55" t="s">
        <v>153</v>
      </c>
      <c r="G333" s="35"/>
    </row>
    <row r="334" spans="2:28" s="7" customFormat="1" ht="10" customHeight="1" x14ac:dyDescent="0.35">
      <c r="B334"/>
      <c r="F334" s="55" t="s">
        <v>8</v>
      </c>
      <c r="G334" s="35"/>
    </row>
    <row r="335" spans="2:28" s="7" customFormat="1" ht="10" customHeight="1" thickBot="1" x14ac:dyDescent="0.4">
      <c r="B335"/>
      <c r="F335" s="56" t="s">
        <v>11</v>
      </c>
      <c r="G335" s="36"/>
    </row>
    <row r="336" spans="2:28" s="7" customFormat="1" ht="10" customHeight="1" x14ac:dyDescent="0.35">
      <c r="B336"/>
    </row>
    <row r="337" spans="2:28" s="7" customFormat="1" ht="10" customHeight="1" thickBot="1" x14ac:dyDescent="0.4">
      <c r="B337"/>
      <c r="D337" s="44">
        <v>0.375</v>
      </c>
      <c r="E337" s="44">
        <v>0.38541666666666669</v>
      </c>
      <c r="F337" s="44">
        <v>0.39583333333333298</v>
      </c>
      <c r="G337" s="44">
        <v>0.40625</v>
      </c>
      <c r="H337" s="44">
        <v>0.41666666666666702</v>
      </c>
      <c r="I337" s="44">
        <v>0.4236111111111111</v>
      </c>
      <c r="J337" s="44">
        <v>0.43055555555555558</v>
      </c>
      <c r="K337" s="44">
        <v>0.4375</v>
      </c>
      <c r="L337" s="44">
        <v>0.44444444444444442</v>
      </c>
      <c r="M337" s="44">
        <v>0.45833333333333331</v>
      </c>
      <c r="N337" s="44">
        <v>0.47222222222222227</v>
      </c>
      <c r="O337" s="44">
        <v>0.4861111111111111</v>
      </c>
      <c r="P337" s="44">
        <v>0.5</v>
      </c>
      <c r="Q337" s="44">
        <v>0.51041666666666663</v>
      </c>
      <c r="R337" s="44">
        <v>0.52083333333333337</v>
      </c>
      <c r="S337" s="44">
        <v>0.53125</v>
      </c>
      <c r="T337" s="44">
        <v>0.54166666666666663</v>
      </c>
      <c r="U337" s="44">
        <v>0.55555555555555558</v>
      </c>
      <c r="V337" s="44">
        <v>0.56944444444444442</v>
      </c>
      <c r="W337" s="44">
        <v>0.58333333333333337</v>
      </c>
      <c r="X337" s="44">
        <v>0.59722222222222221</v>
      </c>
      <c r="Y337" s="44">
        <v>0.61111111111111105</v>
      </c>
      <c r="Z337" s="44">
        <v>0.625</v>
      </c>
      <c r="AA337" s="44">
        <v>0.63888888888888895</v>
      </c>
    </row>
    <row r="338" spans="2:28" s="7" customFormat="1" ht="10" customHeight="1" thickBot="1" x14ac:dyDescent="0.4">
      <c r="B338"/>
      <c r="D338" s="66" t="s">
        <v>155</v>
      </c>
      <c r="E338" s="68"/>
      <c r="F338" s="66" t="s">
        <v>200</v>
      </c>
      <c r="G338" s="68"/>
      <c r="H338" s="66" t="s">
        <v>78</v>
      </c>
      <c r="I338" s="68"/>
      <c r="J338" s="64" t="s">
        <v>109</v>
      </c>
      <c r="K338" s="67"/>
      <c r="L338" s="65"/>
      <c r="M338" s="64" t="s">
        <v>110</v>
      </c>
      <c r="N338" s="67"/>
      <c r="O338" s="65"/>
      <c r="P338" s="66" t="s">
        <v>112</v>
      </c>
      <c r="Q338" s="68"/>
      <c r="R338" s="66" t="s">
        <v>113</v>
      </c>
      <c r="S338" s="67"/>
      <c r="T338" s="64" t="s">
        <v>111</v>
      </c>
      <c r="U338" s="65"/>
      <c r="V338" s="64" t="s">
        <v>114</v>
      </c>
      <c r="W338" s="65"/>
      <c r="X338" s="64" t="s">
        <v>201</v>
      </c>
      <c r="Y338" s="65"/>
      <c r="Z338" s="46" t="s">
        <v>202</v>
      </c>
      <c r="AA338" s="47"/>
    </row>
    <row r="339" spans="2:28" s="7" customFormat="1" ht="10" customHeight="1" x14ac:dyDescent="0.35">
      <c r="B339"/>
      <c r="C339" s="7" t="s">
        <v>125</v>
      </c>
      <c r="AB339" s="7">
        <v>0</v>
      </c>
    </row>
    <row r="340" spans="2:28" s="7" customFormat="1" ht="10" customHeight="1" thickBot="1" x14ac:dyDescent="0.4">
      <c r="B340"/>
      <c r="D340" s="44">
        <v>0.375</v>
      </c>
      <c r="E340" s="44">
        <v>0.38541666666666669</v>
      </c>
      <c r="F340" s="44">
        <v>0.39583333333333298</v>
      </c>
      <c r="G340" s="44">
        <v>0.40625</v>
      </c>
      <c r="H340" s="44">
        <v>0.41666666666666702</v>
      </c>
      <c r="I340" s="44">
        <v>0.4236111111111111</v>
      </c>
      <c r="J340" s="44">
        <v>0.43055555555555558</v>
      </c>
      <c r="K340" s="44">
        <v>0.4375</v>
      </c>
      <c r="L340" s="44">
        <v>0.44444444444444442</v>
      </c>
      <c r="M340" s="44">
        <v>0.45833333333333331</v>
      </c>
      <c r="N340" s="44">
        <v>0.47222222222222227</v>
      </c>
      <c r="O340" s="44">
        <v>0.4861111111111111</v>
      </c>
      <c r="P340" s="44">
        <v>0.5</v>
      </c>
      <c r="Q340" s="44">
        <v>0.51041666666666663</v>
      </c>
      <c r="R340" s="44">
        <v>0.52083333333333337</v>
      </c>
      <c r="S340" s="44">
        <v>0.53125</v>
      </c>
      <c r="T340" s="44">
        <v>0.54166666666666663</v>
      </c>
      <c r="U340" s="44">
        <v>0.55555555555555558</v>
      </c>
      <c r="V340" s="44">
        <v>0.56944444444444442</v>
      </c>
      <c r="W340" s="44">
        <v>0.58333333333333337</v>
      </c>
      <c r="X340" s="44">
        <v>0.59722222222222221</v>
      </c>
      <c r="Y340" s="44">
        <v>0.61111111111111105</v>
      </c>
      <c r="Z340" s="44">
        <v>0.625</v>
      </c>
      <c r="AA340" s="44">
        <v>0.63888888888888895</v>
      </c>
    </row>
    <row r="341" spans="2:28" s="7" customFormat="1" ht="10" customHeight="1" thickBot="1" x14ac:dyDescent="0.4">
      <c r="B341"/>
      <c r="D341" s="66" t="s">
        <v>155</v>
      </c>
      <c r="E341" s="68"/>
      <c r="F341" s="66" t="s">
        <v>200</v>
      </c>
      <c r="G341" s="68"/>
      <c r="H341" s="66" t="s">
        <v>78</v>
      </c>
      <c r="I341" s="68"/>
      <c r="J341" s="64" t="s">
        <v>109</v>
      </c>
      <c r="K341" s="67"/>
      <c r="L341" s="65"/>
      <c r="M341" s="64" t="s">
        <v>110</v>
      </c>
      <c r="N341" s="67"/>
      <c r="O341" s="65"/>
      <c r="P341" s="66" t="s">
        <v>112</v>
      </c>
      <c r="Q341" s="68"/>
      <c r="R341" s="66" t="s">
        <v>113</v>
      </c>
      <c r="S341" s="67"/>
      <c r="T341" s="64" t="s">
        <v>111</v>
      </c>
      <c r="U341" s="65"/>
      <c r="V341" s="64" t="s">
        <v>114</v>
      </c>
      <c r="W341" s="65"/>
      <c r="X341" s="64" t="s">
        <v>201</v>
      </c>
      <c r="Y341" s="65"/>
      <c r="Z341" s="46" t="s">
        <v>202</v>
      </c>
      <c r="AA341" s="47"/>
    </row>
    <row r="342" spans="2:28" s="7" customFormat="1" ht="10" customHeight="1" x14ac:dyDescent="0.35">
      <c r="B342"/>
      <c r="C342" s="7" t="s">
        <v>157</v>
      </c>
      <c r="D342" s="54" t="s">
        <v>160</v>
      </c>
      <c r="E342" s="23"/>
      <c r="F342" s="72" t="s">
        <v>97</v>
      </c>
      <c r="G342" s="34"/>
      <c r="J342" s="54" t="s">
        <v>5</v>
      </c>
      <c r="K342" s="23"/>
      <c r="L342" s="23"/>
      <c r="M342" s="23"/>
      <c r="N342" s="23"/>
      <c r="O342" s="34"/>
      <c r="R342" s="54" t="s">
        <v>165</v>
      </c>
      <c r="S342" s="34"/>
      <c r="T342" s="54" t="s">
        <v>191</v>
      </c>
      <c r="U342" s="23"/>
      <c r="V342" s="23"/>
      <c r="W342" s="23"/>
      <c r="X342" s="23"/>
      <c r="Y342" s="23"/>
      <c r="Z342" s="34"/>
      <c r="AB342" s="7">
        <v>5.5</v>
      </c>
    </row>
    <row r="343" spans="2:28" s="7" customFormat="1" ht="10" customHeight="1" x14ac:dyDescent="0.35">
      <c r="B343"/>
      <c r="D343" s="55" t="s">
        <v>142</v>
      </c>
      <c r="E343" s="18"/>
      <c r="F343" s="73" t="s">
        <v>141</v>
      </c>
      <c r="G343" s="35"/>
      <c r="J343" s="55" t="s">
        <v>142</v>
      </c>
      <c r="K343" s="18"/>
      <c r="L343" s="18"/>
      <c r="M343" s="18"/>
      <c r="N343" s="18"/>
      <c r="O343" s="35"/>
      <c r="R343" s="55" t="s">
        <v>183</v>
      </c>
      <c r="S343" s="35"/>
      <c r="T343" s="55" t="s">
        <v>143</v>
      </c>
      <c r="U343" s="18"/>
      <c r="V343" s="18"/>
      <c r="W343" s="18"/>
      <c r="X343" s="18"/>
      <c r="Y343" s="18"/>
      <c r="Z343" s="35"/>
    </row>
    <row r="344" spans="2:28" s="7" customFormat="1" ht="10" customHeight="1" x14ac:dyDescent="0.35">
      <c r="B344"/>
      <c r="D344" s="55" t="s">
        <v>72</v>
      </c>
      <c r="E344" s="18"/>
      <c r="F344" s="73" t="s">
        <v>75</v>
      </c>
      <c r="G344" s="35"/>
      <c r="J344" s="55" t="s">
        <v>73</v>
      </c>
      <c r="K344" s="18"/>
      <c r="L344" s="18"/>
      <c r="M344" s="18"/>
      <c r="N344" s="18"/>
      <c r="O344" s="35"/>
      <c r="R344" s="55" t="s">
        <v>73</v>
      </c>
      <c r="S344" s="35"/>
      <c r="T344" s="55" t="s">
        <v>83</v>
      </c>
      <c r="U344" s="18"/>
      <c r="V344" s="18"/>
      <c r="W344" s="18"/>
      <c r="X344" s="18"/>
      <c r="Y344" s="18"/>
      <c r="Z344" s="35"/>
    </row>
    <row r="345" spans="2:28" s="7" customFormat="1" ht="10" customHeight="1" x14ac:dyDescent="0.35">
      <c r="B345"/>
      <c r="D345" s="55" t="s">
        <v>81</v>
      </c>
      <c r="E345" s="18"/>
      <c r="F345" s="73" t="s">
        <v>71</v>
      </c>
      <c r="G345" s="35"/>
      <c r="J345" s="55" t="s">
        <v>72</v>
      </c>
      <c r="K345" s="18"/>
      <c r="L345" s="18"/>
      <c r="M345" s="18"/>
      <c r="N345" s="18"/>
      <c r="O345" s="35"/>
      <c r="R345" s="55" t="s">
        <v>83</v>
      </c>
      <c r="S345" s="35"/>
      <c r="T345" s="55" t="s">
        <v>157</v>
      </c>
      <c r="U345" s="18"/>
      <c r="V345" s="18"/>
      <c r="W345" s="18"/>
      <c r="X345" s="18"/>
      <c r="Y345" s="18"/>
      <c r="Z345" s="35"/>
    </row>
    <row r="346" spans="2:28" s="7" customFormat="1" ht="10" customHeight="1" x14ac:dyDescent="0.35">
      <c r="B346"/>
      <c r="D346" s="55" t="s">
        <v>157</v>
      </c>
      <c r="E346" s="18"/>
      <c r="F346" s="73" t="s">
        <v>69</v>
      </c>
      <c r="G346" s="35"/>
      <c r="J346" s="55" t="s">
        <v>81</v>
      </c>
      <c r="K346" s="18"/>
      <c r="L346" s="18"/>
      <c r="M346" s="18"/>
      <c r="N346" s="18"/>
      <c r="O346" s="35"/>
      <c r="R346" s="55" t="s">
        <v>77</v>
      </c>
      <c r="S346" s="35"/>
      <c r="T346" s="55"/>
      <c r="U346" s="18"/>
      <c r="V346" s="18"/>
      <c r="W346" s="18"/>
      <c r="X346" s="18"/>
      <c r="Y346" s="18"/>
      <c r="Z346" s="35"/>
    </row>
    <row r="347" spans="2:28" s="7" customFormat="1" ht="10" customHeight="1" thickBot="1" x14ac:dyDescent="0.4">
      <c r="B347"/>
      <c r="D347" s="55"/>
      <c r="E347" s="18"/>
      <c r="F347" s="73" t="s">
        <v>99</v>
      </c>
      <c r="G347" s="35"/>
      <c r="J347" s="55" t="s">
        <v>157</v>
      </c>
      <c r="K347" s="18"/>
      <c r="L347" s="18"/>
      <c r="M347" s="18"/>
      <c r="N347" s="18"/>
      <c r="O347" s="35"/>
      <c r="R347" s="55" t="s">
        <v>157</v>
      </c>
      <c r="S347" s="35"/>
      <c r="T347" s="56" t="s">
        <v>150</v>
      </c>
      <c r="U347" s="19"/>
      <c r="V347" s="19"/>
      <c r="W347" s="19"/>
      <c r="X347" s="19"/>
      <c r="Y347" s="19"/>
      <c r="Z347" s="36"/>
    </row>
    <row r="348" spans="2:28" s="7" customFormat="1" ht="10" customHeight="1" x14ac:dyDescent="0.35">
      <c r="B348"/>
      <c r="D348" s="55" t="s">
        <v>3</v>
      </c>
      <c r="E348" s="18"/>
      <c r="F348" s="73" t="s">
        <v>157</v>
      </c>
      <c r="G348" s="35"/>
      <c r="J348" s="55"/>
      <c r="K348" s="18"/>
      <c r="L348" s="18"/>
      <c r="M348" s="18"/>
      <c r="N348" s="18"/>
      <c r="O348" s="35"/>
      <c r="R348" s="55" t="s">
        <v>71</v>
      </c>
      <c r="S348" s="35"/>
    </row>
    <row r="349" spans="2:28" s="7" customFormat="1" ht="10" customHeight="1" x14ac:dyDescent="0.35">
      <c r="B349"/>
      <c r="D349" s="55" t="s">
        <v>4</v>
      </c>
      <c r="E349" s="18"/>
      <c r="F349" s="73"/>
      <c r="G349" s="35"/>
      <c r="J349" s="55" t="s">
        <v>148</v>
      </c>
      <c r="K349" s="18"/>
      <c r="L349" s="18"/>
      <c r="M349" s="18"/>
      <c r="N349" s="18"/>
      <c r="O349" s="35"/>
      <c r="R349" s="55"/>
      <c r="S349" s="35"/>
    </row>
    <row r="350" spans="2:28" s="7" customFormat="1" ht="10" customHeight="1" x14ac:dyDescent="0.35">
      <c r="B350"/>
      <c r="D350" s="55" t="s">
        <v>1</v>
      </c>
      <c r="E350" s="18"/>
      <c r="F350" s="73" t="s">
        <v>148</v>
      </c>
      <c r="G350" s="35"/>
      <c r="J350" s="55" t="s">
        <v>2</v>
      </c>
      <c r="K350" s="18"/>
      <c r="L350" s="18"/>
      <c r="M350" s="18"/>
      <c r="N350" s="18"/>
      <c r="O350" s="35"/>
      <c r="R350" s="55" t="s">
        <v>150</v>
      </c>
      <c r="S350" s="35"/>
    </row>
    <row r="351" spans="2:28" s="7" customFormat="1" ht="10" customHeight="1" thickBot="1" x14ac:dyDescent="0.4">
      <c r="B351"/>
      <c r="D351" s="56" t="s">
        <v>147</v>
      </c>
      <c r="E351" s="19"/>
      <c r="F351" s="73" t="s">
        <v>150</v>
      </c>
      <c r="G351" s="35"/>
      <c r="J351" s="55" t="s">
        <v>146</v>
      </c>
      <c r="K351" s="18"/>
      <c r="L351" s="18"/>
      <c r="M351" s="18"/>
      <c r="N351" s="18"/>
      <c r="O351" s="35"/>
      <c r="R351" s="55" t="s">
        <v>3</v>
      </c>
      <c r="S351" s="35"/>
    </row>
    <row r="352" spans="2:28" s="7" customFormat="1" ht="10" customHeight="1" thickBot="1" x14ac:dyDescent="0.4">
      <c r="B352"/>
      <c r="F352" s="73" t="s">
        <v>3</v>
      </c>
      <c r="G352" s="35"/>
      <c r="J352" s="56" t="s">
        <v>150</v>
      </c>
      <c r="K352" s="19"/>
      <c r="L352" s="19"/>
      <c r="M352" s="19"/>
      <c r="N352" s="19"/>
      <c r="O352" s="36"/>
      <c r="R352" s="55" t="s">
        <v>4</v>
      </c>
      <c r="S352" s="35"/>
    </row>
    <row r="353" spans="2:27" s="7" customFormat="1" ht="10" customHeight="1" x14ac:dyDescent="0.35">
      <c r="B353"/>
      <c r="F353" s="73" t="s">
        <v>4</v>
      </c>
      <c r="G353" s="35"/>
      <c r="R353" s="55" t="s">
        <v>1</v>
      </c>
      <c r="S353" s="35"/>
    </row>
    <row r="354" spans="2:27" s="7" customFormat="1" ht="10" customHeight="1" x14ac:dyDescent="0.35">
      <c r="B354"/>
      <c r="F354" s="73" t="s">
        <v>153</v>
      </c>
      <c r="G354" s="35"/>
      <c r="R354" s="55" t="s">
        <v>147</v>
      </c>
      <c r="S354" s="35"/>
    </row>
    <row r="355" spans="2:27" s="7" customFormat="1" ht="10" customHeight="1" x14ac:dyDescent="0.35">
      <c r="B355"/>
      <c r="F355" s="73" t="s">
        <v>8</v>
      </c>
      <c r="G355" s="35"/>
      <c r="R355" s="55" t="s">
        <v>10</v>
      </c>
      <c r="S355" s="35"/>
    </row>
    <row r="356" spans="2:27" s="7" customFormat="1" ht="10" customHeight="1" thickBot="1" x14ac:dyDescent="0.4">
      <c r="B356"/>
      <c r="F356" s="74" t="s">
        <v>11</v>
      </c>
      <c r="G356" s="36"/>
      <c r="R356" s="55" t="s">
        <v>6</v>
      </c>
      <c r="S356" s="35"/>
    </row>
    <row r="357" spans="2:27" s="7" customFormat="1" ht="10" customHeight="1" x14ac:dyDescent="0.35">
      <c r="B357"/>
      <c r="R357" s="55" t="s">
        <v>8</v>
      </c>
      <c r="S357" s="35"/>
    </row>
    <row r="358" spans="2:27" s="7" customFormat="1" ht="10" customHeight="1" thickBot="1" x14ac:dyDescent="0.4">
      <c r="B358"/>
      <c r="R358" s="56" t="s">
        <v>11</v>
      </c>
      <c r="S358" s="36"/>
    </row>
    <row r="359" spans="2:27" s="7" customFormat="1" ht="10" customHeight="1" x14ac:dyDescent="0.35">
      <c r="B359"/>
    </row>
    <row r="360" spans="2:27" s="7" customFormat="1" ht="10" customHeight="1" thickBot="1" x14ac:dyDescent="0.4">
      <c r="B360"/>
      <c r="D360" s="44">
        <v>0.375</v>
      </c>
      <c r="E360" s="44">
        <v>0.38541666666666669</v>
      </c>
      <c r="F360" s="44">
        <v>0.39583333333333298</v>
      </c>
      <c r="G360" s="44">
        <v>0.40625</v>
      </c>
      <c r="H360" s="44">
        <v>0.41666666666666702</v>
      </c>
      <c r="I360" s="44">
        <v>0.4236111111111111</v>
      </c>
      <c r="J360" s="44">
        <v>0.43055555555555558</v>
      </c>
      <c r="K360" s="44">
        <v>0.4375</v>
      </c>
      <c r="L360" s="44">
        <v>0.44444444444444442</v>
      </c>
      <c r="M360" s="44">
        <v>0.45833333333333331</v>
      </c>
      <c r="N360" s="44">
        <v>0.47222222222222227</v>
      </c>
      <c r="O360" s="44">
        <v>0.4861111111111111</v>
      </c>
      <c r="P360" s="44">
        <v>0.5</v>
      </c>
      <c r="Q360" s="44">
        <v>0.51041666666666663</v>
      </c>
      <c r="R360" s="44">
        <v>0.52083333333333337</v>
      </c>
      <c r="S360" s="44">
        <v>0.53125</v>
      </c>
      <c r="T360" s="44">
        <v>0.54166666666666663</v>
      </c>
      <c r="U360" s="44">
        <v>0.55555555555555558</v>
      </c>
      <c r="V360" s="44">
        <v>0.56944444444444442</v>
      </c>
      <c r="W360" s="44">
        <v>0.58333333333333337</v>
      </c>
      <c r="X360" s="44">
        <v>0.59722222222222221</v>
      </c>
      <c r="Y360" s="44">
        <v>0.61111111111111105</v>
      </c>
      <c r="Z360" s="44">
        <v>0.625</v>
      </c>
      <c r="AA360" s="44">
        <v>0.63888888888888895</v>
      </c>
    </row>
    <row r="361" spans="2:27" s="7" customFormat="1" ht="10" customHeight="1" thickBot="1" x14ac:dyDescent="0.4">
      <c r="B361"/>
      <c r="D361" s="66" t="s">
        <v>155</v>
      </c>
      <c r="E361" s="68"/>
      <c r="F361" s="66" t="s">
        <v>200</v>
      </c>
      <c r="G361" s="68"/>
      <c r="H361" s="66" t="s">
        <v>78</v>
      </c>
      <c r="I361" s="68"/>
      <c r="J361" s="64" t="s">
        <v>109</v>
      </c>
      <c r="K361" s="67"/>
      <c r="L361" s="65"/>
      <c r="M361" s="64" t="s">
        <v>110</v>
      </c>
      <c r="N361" s="67"/>
      <c r="O361" s="65"/>
      <c r="P361" s="66" t="s">
        <v>112</v>
      </c>
      <c r="Q361" s="68"/>
      <c r="R361" s="66" t="s">
        <v>113</v>
      </c>
      <c r="S361" s="67"/>
      <c r="T361" s="64" t="s">
        <v>111</v>
      </c>
      <c r="U361" s="65"/>
      <c r="V361" s="64" t="s">
        <v>114</v>
      </c>
      <c r="W361" s="65"/>
      <c r="X361" s="64" t="s">
        <v>201</v>
      </c>
      <c r="Y361" s="65"/>
      <c r="Z361" s="46" t="s">
        <v>202</v>
      </c>
      <c r="AA361" s="47"/>
    </row>
    <row r="362" spans="2:27" s="7" customFormat="1" ht="10" customHeight="1" x14ac:dyDescent="0.35">
      <c r="B362"/>
    </row>
    <row r="363" spans="2:27" s="7" customFormat="1" ht="10" customHeight="1" x14ac:dyDescent="0.35">
      <c r="B363"/>
    </row>
    <row r="364" spans="2:27" s="7" customFormat="1" ht="10" customHeight="1" x14ac:dyDescent="0.35">
      <c r="B364"/>
    </row>
    <row r="365" spans="2:27" s="7" customFormat="1" ht="10" customHeight="1" x14ac:dyDescent="0.35">
      <c r="B365"/>
    </row>
    <row r="366" spans="2:27" s="7" customFormat="1" ht="10" customHeight="1" x14ac:dyDescent="0.35">
      <c r="B366"/>
    </row>
    <row r="367" spans="2:27" s="7" customFormat="1" ht="10" customHeight="1" x14ac:dyDescent="0.35">
      <c r="B367"/>
    </row>
    <row r="368" spans="2:27" s="7" customFormat="1" ht="10" customHeight="1" x14ac:dyDescent="0.35">
      <c r="B368"/>
    </row>
    <row r="369" spans="2:2" s="7" customFormat="1" ht="10" customHeight="1" x14ac:dyDescent="0.35">
      <c r="B369"/>
    </row>
    <row r="370" spans="2:2" s="7" customFormat="1" ht="10" customHeight="1" x14ac:dyDescent="0.35">
      <c r="B370"/>
    </row>
    <row r="371" spans="2:2" s="7" customFormat="1" ht="10" customHeight="1" x14ac:dyDescent="0.35">
      <c r="B371"/>
    </row>
    <row r="372" spans="2:2" s="7" customFormat="1" ht="10" customHeight="1" x14ac:dyDescent="0.35">
      <c r="B372"/>
    </row>
    <row r="373" spans="2:2" s="7" customFormat="1" ht="10" customHeight="1" x14ac:dyDescent="0.35">
      <c r="B373"/>
    </row>
    <row r="374" spans="2:2" s="7" customFormat="1" ht="10" customHeight="1" x14ac:dyDescent="0.35">
      <c r="B374"/>
    </row>
    <row r="375" spans="2:2" s="7" customFormat="1" ht="10" customHeight="1" x14ac:dyDescent="0.35">
      <c r="B375"/>
    </row>
    <row r="376" spans="2:2" s="7" customFormat="1" ht="10" customHeight="1" x14ac:dyDescent="0.35">
      <c r="B376"/>
    </row>
    <row r="377" spans="2:2" s="7" customFormat="1" ht="10" customHeight="1" x14ac:dyDescent="0.35">
      <c r="B377"/>
    </row>
    <row r="378" spans="2:2" s="7" customFormat="1" ht="10" customHeight="1" x14ac:dyDescent="0.35">
      <c r="B378"/>
    </row>
    <row r="379" spans="2:2" s="7" customFormat="1" ht="10" customHeight="1" x14ac:dyDescent="0.35">
      <c r="B379"/>
    </row>
    <row r="380" spans="2:2" s="7" customFormat="1" ht="10" customHeight="1" x14ac:dyDescent="0.35">
      <c r="B380"/>
    </row>
    <row r="381" spans="2:2" s="7" customFormat="1" ht="10" customHeight="1" x14ac:dyDescent="0.35">
      <c r="B381"/>
    </row>
    <row r="382" spans="2:2" s="7" customFormat="1" ht="10" customHeight="1" x14ac:dyDescent="0.35">
      <c r="B382"/>
    </row>
    <row r="383" spans="2:2" s="7" customFormat="1" ht="10" customHeight="1" x14ac:dyDescent="0.35">
      <c r="B383"/>
    </row>
    <row r="384" spans="2:2" s="7" customFormat="1" ht="10" customHeight="1" x14ac:dyDescent="0.35">
      <c r="B384"/>
    </row>
    <row r="385" spans="2:2" s="7" customFormat="1" ht="10" customHeight="1" x14ac:dyDescent="0.35">
      <c r="B385"/>
    </row>
    <row r="386" spans="2:2" s="7" customFormat="1" ht="10" customHeight="1" x14ac:dyDescent="0.35">
      <c r="B386"/>
    </row>
    <row r="387" spans="2:2" s="7" customFormat="1" ht="10" customHeight="1" x14ac:dyDescent="0.35">
      <c r="B387"/>
    </row>
    <row r="388" spans="2:2" s="7" customFormat="1" ht="10" customHeight="1" x14ac:dyDescent="0.35">
      <c r="B388"/>
    </row>
    <row r="389" spans="2:2" s="7" customFormat="1" ht="10" customHeight="1" x14ac:dyDescent="0.35">
      <c r="B389"/>
    </row>
    <row r="390" spans="2:2" s="7" customFormat="1" ht="10" customHeight="1" x14ac:dyDescent="0.35">
      <c r="B390"/>
    </row>
    <row r="391" spans="2:2" s="7" customFormat="1" ht="10" customHeight="1" x14ac:dyDescent="0.35">
      <c r="B391"/>
    </row>
    <row r="392" spans="2:2" s="7" customFormat="1" ht="10" customHeight="1" x14ac:dyDescent="0.35">
      <c r="B392"/>
    </row>
    <row r="393" spans="2:2" s="7" customFormat="1" ht="10" customHeight="1" x14ac:dyDescent="0.35">
      <c r="B393"/>
    </row>
    <row r="394" spans="2:2" s="7" customFormat="1" ht="10" customHeight="1" x14ac:dyDescent="0.35">
      <c r="B394"/>
    </row>
    <row r="395" spans="2:2" s="7" customFormat="1" ht="10" customHeight="1" x14ac:dyDescent="0.35">
      <c r="B395"/>
    </row>
    <row r="396" spans="2:2" s="7" customFormat="1" ht="10" customHeight="1" x14ac:dyDescent="0.35">
      <c r="B396"/>
    </row>
    <row r="397" spans="2:2" s="7" customFormat="1" ht="10" customHeight="1" x14ac:dyDescent="0.35">
      <c r="B397"/>
    </row>
    <row r="398" spans="2:2" s="7" customFormat="1" ht="10" customHeight="1" x14ac:dyDescent="0.35">
      <c r="B398"/>
    </row>
    <row r="399" spans="2:2" s="7" customFormat="1" ht="10" customHeight="1" x14ac:dyDescent="0.35">
      <c r="B399"/>
    </row>
    <row r="400" spans="2:2" s="7" customFormat="1" ht="10" customHeight="1" x14ac:dyDescent="0.35">
      <c r="B400"/>
    </row>
    <row r="401" spans="3:29" x14ac:dyDescent="0.35">
      <c r="C401" s="43"/>
      <c r="D401" s="43"/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  <c r="AA401" s="43"/>
      <c r="AB401" s="43"/>
      <c r="AC401" s="43"/>
    </row>
    <row r="402" spans="3:29" x14ac:dyDescent="0.35">
      <c r="C402" s="43"/>
      <c r="D402" s="43"/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  <c r="AA402" s="43"/>
      <c r="AB402" s="43"/>
      <c r="AC402" s="43"/>
    </row>
    <row r="403" spans="3:29" x14ac:dyDescent="0.35">
      <c r="C403" s="43"/>
      <c r="D403" s="43"/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  <c r="AA403" s="43"/>
      <c r="AB403" s="43"/>
      <c r="AC403" s="43"/>
    </row>
    <row r="404" spans="3:29" x14ac:dyDescent="0.35">
      <c r="C404" s="43"/>
      <c r="D404" s="43"/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  <c r="AA404" s="43"/>
      <c r="AB404" s="43"/>
      <c r="AC404" s="43"/>
    </row>
    <row r="405" spans="3:29" x14ac:dyDescent="0.35">
      <c r="C405" s="43"/>
      <c r="D405" s="43"/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  <c r="AA405" s="43"/>
      <c r="AB405" s="43"/>
      <c r="AC405" s="43"/>
    </row>
    <row r="406" spans="3:29" x14ac:dyDescent="0.35">
      <c r="C406" s="43"/>
      <c r="D406" s="43"/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  <c r="AA406" s="43"/>
      <c r="AB406" s="43"/>
      <c r="AC406" s="43"/>
    </row>
    <row r="407" spans="3:29" x14ac:dyDescent="0.35">
      <c r="C407" s="43"/>
      <c r="D407" s="43"/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  <c r="AA407" s="43"/>
      <c r="AB407" s="43"/>
      <c r="AC407" s="43"/>
    </row>
    <row r="408" spans="3:29" x14ac:dyDescent="0.35">
      <c r="C408" s="43"/>
      <c r="D408" s="43"/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  <c r="AA408" s="43"/>
      <c r="AB408" s="43"/>
      <c r="AC408" s="43"/>
    </row>
    <row r="409" spans="3:29" x14ac:dyDescent="0.35">
      <c r="C409" s="43"/>
      <c r="D409" s="43"/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  <c r="AA409" s="43"/>
      <c r="AB409" s="43"/>
      <c r="AC409" s="43"/>
    </row>
    <row r="410" spans="3:29" x14ac:dyDescent="0.35">
      <c r="C410" s="43"/>
      <c r="D410" s="43"/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  <c r="AA410" s="43"/>
      <c r="AB410" s="43"/>
      <c r="AC410" s="43"/>
    </row>
    <row r="411" spans="3:29" x14ac:dyDescent="0.35">
      <c r="C411" s="43"/>
      <c r="D411" s="43"/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  <c r="AA411" s="43"/>
      <c r="AB411" s="43"/>
      <c r="AC411" s="43"/>
    </row>
    <row r="412" spans="3:29" x14ac:dyDescent="0.35">
      <c r="C412" s="43"/>
      <c r="D412" s="43"/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  <c r="AA412" s="43"/>
      <c r="AB412" s="43"/>
      <c r="AC412" s="43"/>
    </row>
    <row r="413" spans="3:29" x14ac:dyDescent="0.35">
      <c r="C413" s="43"/>
      <c r="D413" s="43"/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  <c r="AA413" s="43"/>
      <c r="AB413" s="43"/>
      <c r="AC413" s="43"/>
    </row>
    <row r="414" spans="3:29" x14ac:dyDescent="0.35">
      <c r="C414" s="43"/>
      <c r="D414" s="43"/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  <c r="AA414" s="43"/>
      <c r="AB414" s="43"/>
      <c r="AC414" s="43"/>
    </row>
    <row r="415" spans="3:29" x14ac:dyDescent="0.35">
      <c r="C415" s="43"/>
      <c r="D415" s="43"/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  <c r="AA415" s="43"/>
      <c r="AB415" s="43"/>
      <c r="AC415" s="43"/>
    </row>
    <row r="416" spans="3:29" x14ac:dyDescent="0.35">
      <c r="C416" s="43"/>
      <c r="D416" s="43"/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  <c r="AA416" s="43"/>
      <c r="AB416" s="43"/>
      <c r="AC416" s="43"/>
    </row>
    <row r="417" spans="3:29" x14ac:dyDescent="0.35">
      <c r="C417" s="43"/>
      <c r="D417" s="43"/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  <c r="AA417" s="43"/>
      <c r="AB417" s="43"/>
      <c r="AC417" s="43"/>
    </row>
    <row r="418" spans="3:29" x14ac:dyDescent="0.35">
      <c r="C418" s="43"/>
      <c r="D418" s="43"/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  <c r="AA418" s="43"/>
      <c r="AB418" s="43"/>
      <c r="AC418" s="43"/>
    </row>
    <row r="419" spans="3:29" x14ac:dyDescent="0.35">
      <c r="C419" s="43"/>
      <c r="D419" s="43"/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  <c r="AA419" s="43"/>
      <c r="AB419" s="43"/>
      <c r="AC419" s="43"/>
    </row>
    <row r="420" spans="3:29" x14ac:dyDescent="0.35">
      <c r="C420" s="43"/>
      <c r="D420" s="43"/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  <c r="AA420" s="43"/>
      <c r="AB420" s="43"/>
      <c r="AC420" s="43"/>
    </row>
    <row r="421" spans="3:29" x14ac:dyDescent="0.35">
      <c r="C421" s="43"/>
      <c r="D421" s="43"/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  <c r="AA421" s="43"/>
      <c r="AB421" s="43"/>
      <c r="AC421" s="43"/>
    </row>
    <row r="422" spans="3:29" x14ac:dyDescent="0.35">
      <c r="C422" s="43"/>
      <c r="D422" s="43"/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  <c r="AA422" s="43"/>
      <c r="AB422" s="43"/>
      <c r="AC422" s="43"/>
    </row>
    <row r="423" spans="3:29" x14ac:dyDescent="0.35">
      <c r="C423" s="43"/>
      <c r="D423" s="43"/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  <c r="AA423" s="43"/>
      <c r="AB423" s="43"/>
      <c r="AC423" s="43"/>
    </row>
    <row r="424" spans="3:29" x14ac:dyDescent="0.35">
      <c r="C424" s="43"/>
      <c r="D424" s="43"/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  <c r="AA424" s="43"/>
      <c r="AB424" s="43"/>
      <c r="AC424" s="43"/>
    </row>
    <row r="425" spans="3:29" x14ac:dyDescent="0.35">
      <c r="C425" s="43"/>
      <c r="D425" s="43"/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  <c r="AA425" s="43"/>
      <c r="AB425" s="43"/>
      <c r="AC425" s="43"/>
    </row>
    <row r="426" spans="3:29" x14ac:dyDescent="0.35">
      <c r="C426" s="43"/>
      <c r="D426" s="43"/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  <c r="AA426" s="43"/>
      <c r="AB426" s="43"/>
      <c r="AC426" s="43"/>
    </row>
    <row r="427" spans="3:29" x14ac:dyDescent="0.35">
      <c r="C427" s="43"/>
      <c r="D427" s="43"/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  <c r="AA427" s="43"/>
      <c r="AB427" s="43"/>
      <c r="AC427" s="43"/>
    </row>
    <row r="428" spans="3:29" x14ac:dyDescent="0.35">
      <c r="C428" s="43"/>
      <c r="D428" s="43"/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  <c r="AA428" s="43"/>
      <c r="AB428" s="43"/>
      <c r="AC428" s="43"/>
    </row>
    <row r="429" spans="3:29" x14ac:dyDescent="0.35">
      <c r="C429" s="43"/>
      <c r="D429" s="43"/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  <c r="AA429" s="43"/>
      <c r="AB429" s="43"/>
      <c r="AC429" s="43"/>
    </row>
    <row r="430" spans="3:29" x14ac:dyDescent="0.35">
      <c r="C430" s="43"/>
      <c r="D430" s="43"/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  <c r="AA430" s="43"/>
      <c r="AB430" s="43"/>
      <c r="AC430" s="43"/>
    </row>
    <row r="431" spans="3:29" x14ac:dyDescent="0.35">
      <c r="C431" s="43"/>
      <c r="D431" s="43"/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  <c r="AA431" s="43"/>
      <c r="AB431" s="43"/>
      <c r="AC431" s="43"/>
    </row>
    <row r="432" spans="3:29" x14ac:dyDescent="0.35">
      <c r="C432" s="43"/>
      <c r="D432" s="43"/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  <c r="AA432" s="43"/>
      <c r="AB432" s="43"/>
      <c r="AC432" s="43"/>
    </row>
  </sheetData>
  <mergeCells count="250">
    <mergeCell ref="X311:Y311"/>
    <mergeCell ref="D311:E311"/>
    <mergeCell ref="F311:G311"/>
    <mergeCell ref="H311:I311"/>
    <mergeCell ref="J311:L311"/>
    <mergeCell ref="M311:O311"/>
    <mergeCell ref="P311:Q311"/>
    <mergeCell ref="R311:S311"/>
    <mergeCell ref="T311:U311"/>
    <mergeCell ref="V311:W311"/>
    <mergeCell ref="D295:E295"/>
    <mergeCell ref="F295:G295"/>
    <mergeCell ref="H295:I295"/>
    <mergeCell ref="J295:L295"/>
    <mergeCell ref="M295:O295"/>
    <mergeCell ref="P295:Q295"/>
    <mergeCell ref="R295:S295"/>
    <mergeCell ref="T295:U295"/>
    <mergeCell ref="V295:W295"/>
    <mergeCell ref="D279:E279"/>
    <mergeCell ref="F279:G279"/>
    <mergeCell ref="H279:I279"/>
    <mergeCell ref="J279:L279"/>
    <mergeCell ref="M279:O279"/>
    <mergeCell ref="P279:Q279"/>
    <mergeCell ref="R279:S279"/>
    <mergeCell ref="T279:U279"/>
    <mergeCell ref="V279:W279"/>
    <mergeCell ref="X239:Y239"/>
    <mergeCell ref="D254:E254"/>
    <mergeCell ref="F254:G254"/>
    <mergeCell ref="H254:I254"/>
    <mergeCell ref="J254:L254"/>
    <mergeCell ref="M254:O254"/>
    <mergeCell ref="P254:Q254"/>
    <mergeCell ref="R254:S254"/>
    <mergeCell ref="T254:U254"/>
    <mergeCell ref="V254:W254"/>
    <mergeCell ref="X254:Y254"/>
    <mergeCell ref="D239:E239"/>
    <mergeCell ref="F239:G239"/>
    <mergeCell ref="H239:I239"/>
    <mergeCell ref="J239:L239"/>
    <mergeCell ref="M239:O239"/>
    <mergeCell ref="P239:Q239"/>
    <mergeCell ref="R239:S239"/>
    <mergeCell ref="T239:U239"/>
    <mergeCell ref="V239:W239"/>
    <mergeCell ref="M194:O194"/>
    <mergeCell ref="P194:Q194"/>
    <mergeCell ref="R194:S194"/>
    <mergeCell ref="T194:U194"/>
    <mergeCell ref="V194:W194"/>
    <mergeCell ref="X194:Y194"/>
    <mergeCell ref="D219:E219"/>
    <mergeCell ref="F219:G219"/>
    <mergeCell ref="H219:I219"/>
    <mergeCell ref="J219:L219"/>
    <mergeCell ref="M219:O219"/>
    <mergeCell ref="P219:Q219"/>
    <mergeCell ref="R219:S219"/>
    <mergeCell ref="T219:U219"/>
    <mergeCell ref="V219:W219"/>
    <mergeCell ref="X219:Y219"/>
    <mergeCell ref="X156:Y156"/>
    <mergeCell ref="D181:E181"/>
    <mergeCell ref="F181:G181"/>
    <mergeCell ref="H181:I181"/>
    <mergeCell ref="J181:L181"/>
    <mergeCell ref="M181:O181"/>
    <mergeCell ref="P181:Q181"/>
    <mergeCell ref="R181:S181"/>
    <mergeCell ref="T181:U181"/>
    <mergeCell ref="V181:W181"/>
    <mergeCell ref="X181:Y181"/>
    <mergeCell ref="D156:E156"/>
    <mergeCell ref="F156:G156"/>
    <mergeCell ref="H156:I156"/>
    <mergeCell ref="J156:L156"/>
    <mergeCell ref="M156:O156"/>
    <mergeCell ref="P156:Q156"/>
    <mergeCell ref="R156:S156"/>
    <mergeCell ref="T156:U156"/>
    <mergeCell ref="V156:W156"/>
    <mergeCell ref="X141:Y141"/>
    <mergeCell ref="D144:E144"/>
    <mergeCell ref="F144:G144"/>
    <mergeCell ref="H144:I144"/>
    <mergeCell ref="J144:L144"/>
    <mergeCell ref="M144:O144"/>
    <mergeCell ref="P144:Q144"/>
    <mergeCell ref="R144:S144"/>
    <mergeCell ref="T144:U144"/>
    <mergeCell ref="V144:W144"/>
    <mergeCell ref="X144:Y144"/>
    <mergeCell ref="D141:E141"/>
    <mergeCell ref="F141:G141"/>
    <mergeCell ref="H141:I141"/>
    <mergeCell ref="J141:L141"/>
    <mergeCell ref="M141:O141"/>
    <mergeCell ref="P141:Q141"/>
    <mergeCell ref="R141:S141"/>
    <mergeCell ref="T141:U141"/>
    <mergeCell ref="V141:W141"/>
    <mergeCell ref="X130:Y130"/>
    <mergeCell ref="D133:E133"/>
    <mergeCell ref="F133:G133"/>
    <mergeCell ref="H133:I133"/>
    <mergeCell ref="J133:L133"/>
    <mergeCell ref="M133:O133"/>
    <mergeCell ref="P133:Q133"/>
    <mergeCell ref="R133:S133"/>
    <mergeCell ref="T133:U133"/>
    <mergeCell ref="V133:W133"/>
    <mergeCell ref="X133:Y133"/>
    <mergeCell ref="D130:E130"/>
    <mergeCell ref="F130:G130"/>
    <mergeCell ref="H130:I130"/>
    <mergeCell ref="J130:L130"/>
    <mergeCell ref="M130:O130"/>
    <mergeCell ref="P130:Q130"/>
    <mergeCell ref="R130:S130"/>
    <mergeCell ref="T130:U130"/>
    <mergeCell ref="V130:W130"/>
    <mergeCell ref="M42:O42"/>
    <mergeCell ref="P42:Q42"/>
    <mergeCell ref="R42:S42"/>
    <mergeCell ref="T42:U42"/>
    <mergeCell ref="V42:W42"/>
    <mergeCell ref="X42:Y42"/>
    <mergeCell ref="D45:E45"/>
    <mergeCell ref="F45:G45"/>
    <mergeCell ref="H45:I45"/>
    <mergeCell ref="J45:L45"/>
    <mergeCell ref="M45:O45"/>
    <mergeCell ref="P45:Q45"/>
    <mergeCell ref="R45:S45"/>
    <mergeCell ref="T45:U45"/>
    <mergeCell ref="V45:W45"/>
    <mergeCell ref="X45:Y45"/>
    <mergeCell ref="D42:E42"/>
    <mergeCell ref="F42:G42"/>
    <mergeCell ref="H42:I42"/>
    <mergeCell ref="J42:L42"/>
    <mergeCell ref="X14:Y14"/>
    <mergeCell ref="D39:E39"/>
    <mergeCell ref="F39:G39"/>
    <mergeCell ref="H39:I39"/>
    <mergeCell ref="J39:L39"/>
    <mergeCell ref="M39:O39"/>
    <mergeCell ref="P39:Q39"/>
    <mergeCell ref="R39:S39"/>
    <mergeCell ref="T39:U39"/>
    <mergeCell ref="V39:W39"/>
    <mergeCell ref="X39:Y39"/>
    <mergeCell ref="D14:E14"/>
    <mergeCell ref="F14:G14"/>
    <mergeCell ref="H14:I14"/>
    <mergeCell ref="J14:L14"/>
    <mergeCell ref="M14:O14"/>
    <mergeCell ref="P14:Q14"/>
    <mergeCell ref="R14:S14"/>
    <mergeCell ref="T14:U14"/>
    <mergeCell ref="V14:W14"/>
    <mergeCell ref="T65:U65"/>
    <mergeCell ref="V65:W65"/>
    <mergeCell ref="X65:Y65"/>
    <mergeCell ref="X90:Y90"/>
    <mergeCell ref="D110:E110"/>
    <mergeCell ref="F110:G110"/>
    <mergeCell ref="H110:I110"/>
    <mergeCell ref="J110:L110"/>
    <mergeCell ref="M110:O110"/>
    <mergeCell ref="P110:Q110"/>
    <mergeCell ref="R110:S110"/>
    <mergeCell ref="T110:U110"/>
    <mergeCell ref="V110:W110"/>
    <mergeCell ref="X110:Y110"/>
    <mergeCell ref="D90:E90"/>
    <mergeCell ref="F90:G90"/>
    <mergeCell ref="H90:I90"/>
    <mergeCell ref="J90:L90"/>
    <mergeCell ref="M90:O90"/>
    <mergeCell ref="P90:Q90"/>
    <mergeCell ref="R90:S90"/>
    <mergeCell ref="T90:U90"/>
    <mergeCell ref="V90:W90"/>
    <mergeCell ref="X320:Y320"/>
    <mergeCell ref="R5:S5"/>
    <mergeCell ref="T5:U5"/>
    <mergeCell ref="V5:W5"/>
    <mergeCell ref="X5:Y5"/>
    <mergeCell ref="D5:E5"/>
    <mergeCell ref="F5:G5"/>
    <mergeCell ref="H5:I5"/>
    <mergeCell ref="J5:L5"/>
    <mergeCell ref="M5:O5"/>
    <mergeCell ref="P5:Q5"/>
    <mergeCell ref="X279:Y279"/>
    <mergeCell ref="X295:Y295"/>
    <mergeCell ref="D194:E194"/>
    <mergeCell ref="F194:G194"/>
    <mergeCell ref="H194:I194"/>
    <mergeCell ref="J194:L194"/>
    <mergeCell ref="D65:E65"/>
    <mergeCell ref="F65:G65"/>
    <mergeCell ref="H65:I65"/>
    <mergeCell ref="J65:L65"/>
    <mergeCell ref="M65:O65"/>
    <mergeCell ref="P65:Q65"/>
    <mergeCell ref="R65:S65"/>
    <mergeCell ref="D320:E320"/>
    <mergeCell ref="F320:G320"/>
    <mergeCell ref="H320:I320"/>
    <mergeCell ref="J320:L320"/>
    <mergeCell ref="M320:O320"/>
    <mergeCell ref="P320:Q320"/>
    <mergeCell ref="R320:S320"/>
    <mergeCell ref="T320:U320"/>
    <mergeCell ref="V320:W320"/>
    <mergeCell ref="X338:Y338"/>
    <mergeCell ref="D341:E341"/>
    <mergeCell ref="F341:G341"/>
    <mergeCell ref="H341:I341"/>
    <mergeCell ref="J341:L341"/>
    <mergeCell ref="M341:O341"/>
    <mergeCell ref="P341:Q341"/>
    <mergeCell ref="R341:S341"/>
    <mergeCell ref="T341:U341"/>
    <mergeCell ref="V341:W341"/>
    <mergeCell ref="X341:Y341"/>
    <mergeCell ref="D338:E338"/>
    <mergeCell ref="F338:G338"/>
    <mergeCell ref="H338:I338"/>
    <mergeCell ref="J338:L338"/>
    <mergeCell ref="M338:O338"/>
    <mergeCell ref="P338:Q338"/>
    <mergeCell ref="R338:S338"/>
    <mergeCell ref="T338:U338"/>
    <mergeCell ref="V338:W338"/>
    <mergeCell ref="X361:Y361"/>
    <mergeCell ref="D361:E361"/>
    <mergeCell ref="F361:G361"/>
    <mergeCell ref="H361:I361"/>
    <mergeCell ref="J361:L361"/>
    <mergeCell ref="M361:O361"/>
    <mergeCell ref="P361:Q361"/>
    <mergeCell ref="R361:S361"/>
    <mergeCell ref="T361:U361"/>
    <mergeCell ref="V361:W36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</xdr:col>
                <xdr:colOff>190500</xdr:colOff>
                <xdr:row>0</xdr:row>
                <xdr:rowOff>165100</xdr:rowOff>
              </from>
              <to>
                <xdr:col>2</xdr:col>
                <xdr:colOff>368300</xdr:colOff>
                <xdr:row>2</xdr:row>
                <xdr:rowOff>31750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4:AD300"/>
  <sheetViews>
    <sheetView showGridLines="0" tabSelected="1" topLeftCell="E1" workbookViewId="0"/>
  </sheetViews>
  <sheetFormatPr defaultRowHeight="14.5" outlineLevelRow="1" x14ac:dyDescent="0.35"/>
  <sheetData>
    <row r="4" spans="1:30" ht="15" thickBot="1" x14ac:dyDescent="0.4">
      <c r="A4" s="13" t="s">
        <v>132</v>
      </c>
      <c r="B4" s="12">
        <v>0.375</v>
      </c>
      <c r="C4" s="12">
        <v>0.38541666666666669</v>
      </c>
      <c r="D4" s="12">
        <v>0.39583333333333298</v>
      </c>
      <c r="E4" s="12">
        <v>0.40625</v>
      </c>
      <c r="F4" s="12">
        <v>0.41666666666666702</v>
      </c>
      <c r="G4" s="12">
        <v>0.4236111111111111</v>
      </c>
      <c r="H4" s="12">
        <v>0.43055555555555558</v>
      </c>
      <c r="I4" s="12">
        <v>0.4375</v>
      </c>
      <c r="J4" s="12">
        <v>0.44444444444444442</v>
      </c>
      <c r="K4" s="12">
        <v>0.45833333333333331</v>
      </c>
      <c r="L4" s="12">
        <v>0.47222222222222227</v>
      </c>
      <c r="M4" s="12">
        <v>0.4861111111111111</v>
      </c>
      <c r="N4" s="12">
        <v>0.5</v>
      </c>
      <c r="O4" s="12">
        <v>0.51041666666666663</v>
      </c>
      <c r="P4" s="12">
        <v>0.52083333333333337</v>
      </c>
      <c r="Q4" s="12">
        <v>0.53125</v>
      </c>
      <c r="R4" s="12">
        <v>0.54166666666666663</v>
      </c>
      <c r="S4" s="12">
        <v>0.55555555555555558</v>
      </c>
      <c r="T4" s="12">
        <v>0.56944444444444442</v>
      </c>
      <c r="U4" s="12">
        <v>0.58333333333333337</v>
      </c>
      <c r="V4" s="12">
        <v>0.59722222222222221</v>
      </c>
      <c r="W4" s="12">
        <v>0.61111111111111105</v>
      </c>
      <c r="X4" s="12">
        <v>0.625</v>
      </c>
      <c r="Y4" s="12">
        <v>0.63888888888888895</v>
      </c>
    </row>
    <row r="5" spans="1:30" ht="15" thickBot="1" x14ac:dyDescent="0.4">
      <c r="B5" s="61" t="s">
        <v>155</v>
      </c>
      <c r="C5" s="63"/>
      <c r="D5" s="61" t="s">
        <v>200</v>
      </c>
      <c r="E5" s="63"/>
      <c r="F5" s="61" t="s">
        <v>78</v>
      </c>
      <c r="G5" s="63"/>
      <c r="H5" s="59" t="s">
        <v>109</v>
      </c>
      <c r="I5" s="62"/>
      <c r="J5" s="60"/>
      <c r="K5" s="59" t="s">
        <v>110</v>
      </c>
      <c r="L5" s="62"/>
      <c r="M5" s="60"/>
      <c r="N5" s="61" t="s">
        <v>112</v>
      </c>
      <c r="O5" s="63"/>
      <c r="P5" s="61" t="s">
        <v>113</v>
      </c>
      <c r="Q5" s="62"/>
      <c r="R5" s="59" t="s">
        <v>111</v>
      </c>
      <c r="S5" s="60"/>
      <c r="T5" s="59" t="s">
        <v>114</v>
      </c>
      <c r="U5" s="60"/>
      <c r="V5" s="59" t="s">
        <v>201</v>
      </c>
      <c r="W5" s="60"/>
      <c r="X5" s="24" t="s">
        <v>202</v>
      </c>
      <c r="Y5" s="20"/>
    </row>
    <row r="6" spans="1:30" ht="10" customHeight="1" outlineLevel="1" thickBot="1" x14ac:dyDescent="0.4">
      <c r="A6" s="39" t="s">
        <v>73</v>
      </c>
      <c r="B6" s="7"/>
      <c r="C6" s="7"/>
      <c r="D6" s="7"/>
      <c r="E6" s="7"/>
      <c r="F6" s="7"/>
      <c r="G6" s="7"/>
      <c r="H6" s="29" t="s">
        <v>5</v>
      </c>
      <c r="I6" s="9"/>
      <c r="J6" s="9"/>
      <c r="K6" s="9"/>
      <c r="L6" s="9"/>
      <c r="M6" s="30"/>
      <c r="N6" s="57" t="s">
        <v>287</v>
      </c>
      <c r="O6" s="58"/>
      <c r="P6" s="29" t="s">
        <v>165</v>
      </c>
      <c r="Q6" s="30"/>
      <c r="R6" s="29" t="s">
        <v>8</v>
      </c>
      <c r="S6" s="9"/>
      <c r="T6" s="9"/>
      <c r="U6" s="9"/>
      <c r="V6" s="9"/>
      <c r="W6" s="9"/>
      <c r="X6" s="30"/>
      <c r="Y6" s="7">
        <v>4.5</v>
      </c>
      <c r="Z6" s="7" t="s">
        <v>73</v>
      </c>
      <c r="AA6" s="49">
        <v>0.1875</v>
      </c>
      <c r="AB6" s="50"/>
      <c r="AC6" s="7"/>
      <c r="AD6" s="7"/>
    </row>
    <row r="7" spans="1:30" ht="10" customHeight="1" outlineLevel="1" x14ac:dyDescent="0.35">
      <c r="A7" s="7"/>
      <c r="B7" s="7"/>
      <c r="C7" s="7"/>
      <c r="D7" s="7"/>
      <c r="E7" s="7"/>
      <c r="F7" s="7"/>
      <c r="G7" s="7"/>
      <c r="H7" s="7" t="s">
        <v>281</v>
      </c>
      <c r="I7" s="7" t="s">
        <v>281</v>
      </c>
      <c r="J7" s="7" t="s">
        <v>281</v>
      </c>
      <c r="K7" s="7" t="s">
        <v>77</v>
      </c>
      <c r="L7" s="7" t="s">
        <v>77</v>
      </c>
      <c r="M7" s="7" t="s">
        <v>77</v>
      </c>
      <c r="N7" s="7"/>
      <c r="O7" s="7"/>
      <c r="P7" s="7" t="s">
        <v>74</v>
      </c>
      <c r="Q7" s="7" t="s">
        <v>74</v>
      </c>
      <c r="R7" s="7" t="s">
        <v>79</v>
      </c>
      <c r="S7" s="7" t="s">
        <v>79</v>
      </c>
      <c r="T7" s="7" t="s">
        <v>79</v>
      </c>
      <c r="U7" s="7" t="s">
        <v>79</v>
      </c>
      <c r="V7" s="7" t="s">
        <v>281</v>
      </c>
      <c r="W7" s="7" t="s">
        <v>281</v>
      </c>
      <c r="X7" s="7" t="s">
        <v>281</v>
      </c>
      <c r="Y7" s="7"/>
      <c r="Z7" s="7"/>
      <c r="AA7" s="7"/>
      <c r="AB7" s="7"/>
      <c r="AC7" s="7"/>
      <c r="AD7" s="7"/>
    </row>
    <row r="8" spans="1:30" ht="10" customHeight="1" outlineLevel="1" x14ac:dyDescent="0.35">
      <c r="A8" s="7"/>
      <c r="B8" s="7"/>
      <c r="C8" s="7"/>
      <c r="D8" s="7"/>
      <c r="E8" s="7"/>
      <c r="F8" s="7"/>
      <c r="G8" s="7"/>
      <c r="H8" s="7" t="s">
        <v>76</v>
      </c>
      <c r="I8" s="7" t="s">
        <v>76</v>
      </c>
      <c r="J8" s="7" t="s">
        <v>76</v>
      </c>
      <c r="K8" s="7" t="s">
        <v>281</v>
      </c>
      <c r="L8" s="7" t="s">
        <v>281</v>
      </c>
      <c r="M8" s="7" t="s">
        <v>281</v>
      </c>
      <c r="N8" s="7"/>
      <c r="O8" s="7"/>
      <c r="P8" s="7" t="s">
        <v>281</v>
      </c>
      <c r="Q8" s="7" t="s">
        <v>76</v>
      </c>
      <c r="R8" s="7" t="s">
        <v>77</v>
      </c>
      <c r="S8" s="7" t="s">
        <v>77</v>
      </c>
      <c r="T8" s="7" t="s">
        <v>281</v>
      </c>
      <c r="U8" s="7" t="s">
        <v>281</v>
      </c>
      <c r="V8" s="7" t="s">
        <v>77</v>
      </c>
      <c r="W8" s="7" t="s">
        <v>77</v>
      </c>
      <c r="X8" s="7" t="s">
        <v>79</v>
      </c>
      <c r="Y8" s="7"/>
      <c r="Z8" s="7"/>
      <c r="AA8" s="7"/>
      <c r="AB8" s="7"/>
      <c r="AC8" s="7"/>
      <c r="AD8" s="7"/>
    </row>
    <row r="9" spans="1:30" ht="10" customHeight="1" outlineLevel="1" x14ac:dyDescent="0.35">
      <c r="A9" s="7"/>
      <c r="B9" s="7"/>
      <c r="C9" s="7"/>
      <c r="D9" s="7"/>
      <c r="E9" s="7"/>
      <c r="F9" s="7"/>
      <c r="G9" s="7"/>
      <c r="H9" s="7" t="s">
        <v>119</v>
      </c>
      <c r="I9" s="7" t="s">
        <v>119</v>
      </c>
      <c r="J9" s="7" t="s">
        <v>119</v>
      </c>
      <c r="K9" s="7" t="s">
        <v>76</v>
      </c>
      <c r="L9" s="7" t="s">
        <v>76</v>
      </c>
      <c r="M9" s="7" t="s">
        <v>76</v>
      </c>
      <c r="N9" s="7"/>
      <c r="O9" s="7"/>
      <c r="P9" s="7" t="s">
        <v>125</v>
      </c>
      <c r="Q9" s="7" t="s">
        <v>281</v>
      </c>
      <c r="R9" s="7" t="s">
        <v>76</v>
      </c>
      <c r="S9" s="7" t="s">
        <v>76</v>
      </c>
      <c r="T9" s="7" t="s">
        <v>76</v>
      </c>
      <c r="U9" s="7" t="s">
        <v>76</v>
      </c>
      <c r="V9" s="7" t="s">
        <v>76</v>
      </c>
      <c r="W9" s="7" t="s">
        <v>76</v>
      </c>
      <c r="X9" s="7" t="s">
        <v>77</v>
      </c>
      <c r="Y9" s="7"/>
      <c r="Z9" s="7"/>
      <c r="AA9" s="7"/>
      <c r="AB9" s="7"/>
      <c r="AC9" s="7"/>
      <c r="AD9" s="7"/>
    </row>
    <row r="10" spans="1:30" ht="10" customHeight="1" outlineLevel="1" x14ac:dyDescent="0.35">
      <c r="A10" s="7"/>
      <c r="B10" s="7"/>
      <c r="C10" s="7"/>
      <c r="D10" s="7"/>
      <c r="E10" s="7"/>
      <c r="F10" s="7"/>
      <c r="G10" s="7"/>
      <c r="H10" s="7" t="s">
        <v>82</v>
      </c>
      <c r="I10" s="7" t="s">
        <v>82</v>
      </c>
      <c r="J10" s="7" t="s">
        <v>82</v>
      </c>
      <c r="K10" s="7" t="s">
        <v>80</v>
      </c>
      <c r="L10" s="7" t="s">
        <v>80</v>
      </c>
      <c r="M10" s="7" t="s">
        <v>80</v>
      </c>
      <c r="N10" s="7"/>
      <c r="O10" s="7"/>
      <c r="P10" s="7"/>
      <c r="Q10" s="7" t="s">
        <v>125</v>
      </c>
      <c r="R10" s="7" t="s">
        <v>119</v>
      </c>
      <c r="S10" s="7" t="s">
        <v>119</v>
      </c>
      <c r="T10" s="7" t="s">
        <v>119</v>
      </c>
      <c r="U10" s="7" t="s">
        <v>119</v>
      </c>
      <c r="V10" s="7" t="s">
        <v>119</v>
      </c>
      <c r="W10" s="7" t="s">
        <v>119</v>
      </c>
      <c r="X10" s="7" t="s">
        <v>76</v>
      </c>
      <c r="Y10" s="7"/>
      <c r="Z10" s="7"/>
      <c r="AA10" s="7"/>
      <c r="AB10" s="7"/>
      <c r="AC10" s="7"/>
      <c r="AD10" s="7"/>
    </row>
    <row r="11" spans="1:30" ht="10" customHeight="1" outlineLevel="1" x14ac:dyDescent="0.35">
      <c r="A11" s="7"/>
      <c r="B11" s="7"/>
      <c r="C11" s="7"/>
      <c r="D11" s="7"/>
      <c r="E11" s="7"/>
      <c r="F11" s="7"/>
      <c r="G11" s="7"/>
      <c r="H11" s="7" t="s">
        <v>99</v>
      </c>
      <c r="I11" s="7" t="s">
        <v>99</v>
      </c>
      <c r="J11" s="7" t="s">
        <v>99</v>
      </c>
      <c r="K11" s="7" t="s">
        <v>99</v>
      </c>
      <c r="L11" s="7" t="s">
        <v>125</v>
      </c>
      <c r="M11" s="7" t="s">
        <v>125</v>
      </c>
      <c r="N11" s="7"/>
      <c r="O11" s="7"/>
      <c r="P11" s="7"/>
      <c r="Q11" s="7"/>
      <c r="R11" s="7" t="s">
        <v>281</v>
      </c>
      <c r="S11" s="7" t="s">
        <v>281</v>
      </c>
      <c r="T11" s="7" t="s">
        <v>125</v>
      </c>
      <c r="U11" s="7" t="s">
        <v>125</v>
      </c>
      <c r="V11" s="7" t="s">
        <v>125</v>
      </c>
      <c r="W11" s="7" t="s">
        <v>125</v>
      </c>
      <c r="X11" s="7" t="s">
        <v>119</v>
      </c>
      <c r="Y11" s="7"/>
      <c r="Z11" s="7"/>
      <c r="AA11" s="7"/>
      <c r="AB11" s="7"/>
      <c r="AC11" s="7"/>
      <c r="AD11" s="7"/>
    </row>
    <row r="12" spans="1:30" ht="10" customHeight="1" outlineLevel="1" x14ac:dyDescent="0.35">
      <c r="A12" s="7"/>
      <c r="B12" s="7"/>
      <c r="C12" s="7"/>
      <c r="D12" s="7"/>
      <c r="E12" s="7"/>
      <c r="F12" s="7"/>
      <c r="G12" s="7"/>
      <c r="H12" s="7" t="s">
        <v>125</v>
      </c>
      <c r="I12" s="7" t="s">
        <v>125</v>
      </c>
      <c r="J12" s="7" t="s">
        <v>125</v>
      </c>
      <c r="K12" s="7" t="s">
        <v>125</v>
      </c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 t="s">
        <v>185</v>
      </c>
      <c r="Y12" s="7"/>
      <c r="Z12" s="7"/>
      <c r="AA12" s="7"/>
      <c r="AB12" s="7"/>
      <c r="AC12" s="7"/>
      <c r="AD12" s="7"/>
    </row>
    <row r="13" spans="1:30" ht="10" customHeight="1" outlineLevel="1" x14ac:dyDescent="0.3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 t="s">
        <v>125</v>
      </c>
      <c r="Y13" s="7"/>
      <c r="Z13" s="7"/>
      <c r="AA13" s="7"/>
      <c r="AB13" s="7"/>
      <c r="AC13" s="7"/>
      <c r="AD13" s="7"/>
    </row>
    <row r="14" spans="1:30" ht="10" customHeight="1" x14ac:dyDescent="0.3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</row>
    <row r="15" spans="1:30" ht="10" customHeight="1" x14ac:dyDescent="0.3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</row>
    <row r="16" spans="1:30" ht="10" customHeight="1" x14ac:dyDescent="0.3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</row>
    <row r="17" spans="1:30" ht="10" customHeight="1" outlineLevel="1" x14ac:dyDescent="0.3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</row>
    <row r="18" spans="1:30" ht="10" customHeight="1" outlineLevel="1" x14ac:dyDescent="0.3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</row>
    <row r="19" spans="1:30" ht="10" customHeight="1" outlineLevel="1" x14ac:dyDescent="0.3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</row>
    <row r="20" spans="1:30" ht="10" customHeight="1" outlineLevel="1" x14ac:dyDescent="0.3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</row>
    <row r="21" spans="1:30" ht="10" customHeight="1" outlineLevel="1" x14ac:dyDescent="0.3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</row>
    <row r="22" spans="1:30" ht="10" customHeight="1" outlineLevel="1" x14ac:dyDescent="0.3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</row>
    <row r="23" spans="1:30" ht="10" customHeight="1" outlineLevel="1" x14ac:dyDescent="0.3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</row>
    <row r="24" spans="1:30" ht="10" customHeight="1" outlineLevel="1" x14ac:dyDescent="0.3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</row>
    <row r="25" spans="1:30" ht="10" customHeight="1" x14ac:dyDescent="0.3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</row>
    <row r="26" spans="1:30" ht="10" customHeight="1" outlineLevel="1" x14ac:dyDescent="0.3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</row>
    <row r="27" spans="1:30" ht="10" customHeight="1" outlineLevel="1" x14ac:dyDescent="0.3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</row>
    <row r="28" spans="1:30" ht="10" customHeight="1" outlineLevel="1" x14ac:dyDescent="0.3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</row>
    <row r="29" spans="1:30" ht="10" customHeight="1" outlineLevel="1" x14ac:dyDescent="0.3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</row>
    <row r="30" spans="1:30" ht="10" customHeight="1" outlineLevel="1" x14ac:dyDescent="0.3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</row>
    <row r="31" spans="1:30" ht="10" customHeight="1" outlineLevel="1" x14ac:dyDescent="0.3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</row>
    <row r="32" spans="1:30" ht="10" customHeight="1" outlineLevel="1" x14ac:dyDescent="0.3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</row>
    <row r="33" spans="1:30" ht="10" customHeight="1" outlineLevel="1" x14ac:dyDescent="0.3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</row>
    <row r="34" spans="1:30" ht="10" customHeight="1" outlineLevel="1" x14ac:dyDescent="0.3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</row>
    <row r="35" spans="1:30" ht="10" customHeight="1" outlineLevel="1" x14ac:dyDescent="0.3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</row>
    <row r="36" spans="1:30" ht="10" customHeight="1" x14ac:dyDescent="0.3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</row>
    <row r="37" spans="1:30" ht="10" customHeight="1" outlineLevel="1" x14ac:dyDescent="0.3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</row>
    <row r="38" spans="1:30" ht="10" customHeight="1" x14ac:dyDescent="0.3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</row>
    <row r="39" spans="1:30" ht="10" customHeight="1" outlineLevel="1" x14ac:dyDescent="0.3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</row>
    <row r="40" spans="1:30" ht="10" customHeight="1" x14ac:dyDescent="0.3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</row>
    <row r="41" spans="1:30" ht="10" customHeight="1" x14ac:dyDescent="0.3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</row>
    <row r="42" spans="1:30" ht="10" customHeight="1" x14ac:dyDescent="0.3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</row>
    <row r="43" spans="1:30" ht="10" customHeight="1" outlineLevel="1" x14ac:dyDescent="0.3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</row>
    <row r="44" spans="1:30" ht="10" customHeight="1" outlineLevel="1" x14ac:dyDescent="0.3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</row>
    <row r="45" spans="1:30" ht="10" customHeight="1" x14ac:dyDescent="0.3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</row>
    <row r="46" spans="1:30" ht="10" customHeight="1" x14ac:dyDescent="0.3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</row>
    <row r="47" spans="1:30" ht="10" customHeight="1" outlineLevel="1" x14ac:dyDescent="0.3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</row>
    <row r="48" spans="1:30" ht="10" customHeight="1" x14ac:dyDescent="0.3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</row>
    <row r="49" spans="1:30" ht="10" customHeight="1" outlineLevel="1" x14ac:dyDescent="0.3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</row>
    <row r="50" spans="1:30" ht="10" customHeight="1" x14ac:dyDescent="0.3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</row>
    <row r="51" spans="1:30" ht="10" customHeight="1" x14ac:dyDescent="0.3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</row>
    <row r="52" spans="1:30" ht="10" customHeight="1" x14ac:dyDescent="0.3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</row>
    <row r="53" spans="1:30" ht="10" customHeight="1" x14ac:dyDescent="0.3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</row>
    <row r="54" spans="1:30" ht="10" customHeight="1" x14ac:dyDescent="0.3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</row>
    <row r="55" spans="1:30" ht="10" customHeight="1" x14ac:dyDescent="0.3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</row>
    <row r="56" spans="1:30" ht="10" customHeight="1" x14ac:dyDescent="0.3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</row>
    <row r="57" spans="1:30" ht="10" customHeight="1" x14ac:dyDescent="0.3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</row>
    <row r="58" spans="1:30" ht="10" customHeight="1" x14ac:dyDescent="0.3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</row>
    <row r="59" spans="1:30" ht="10" customHeight="1" x14ac:dyDescent="0.3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</row>
    <row r="60" spans="1:30" ht="10" customHeight="1" x14ac:dyDescent="0.3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</row>
    <row r="61" spans="1:30" ht="10" customHeight="1" x14ac:dyDescent="0.3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</row>
    <row r="62" spans="1:30" ht="10" customHeight="1" x14ac:dyDescent="0.3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</row>
    <row r="63" spans="1:30" ht="10" customHeight="1" x14ac:dyDescent="0.3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</row>
    <row r="64" spans="1:30" ht="10" customHeight="1" x14ac:dyDescent="0.3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</row>
    <row r="65" spans="1:30" ht="10" customHeight="1" x14ac:dyDescent="0.3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</row>
    <row r="66" spans="1:30" ht="10" customHeight="1" x14ac:dyDescent="0.3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</row>
    <row r="67" spans="1:30" ht="10" customHeight="1" x14ac:dyDescent="0.3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</row>
    <row r="68" spans="1:30" ht="10" customHeight="1" x14ac:dyDescent="0.3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</row>
    <row r="69" spans="1:30" ht="10" customHeight="1" x14ac:dyDescent="0.3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</row>
    <row r="70" spans="1:30" ht="10" customHeight="1" x14ac:dyDescent="0.3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</row>
    <row r="71" spans="1:30" ht="10" customHeight="1" x14ac:dyDescent="0.3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</row>
    <row r="72" spans="1:30" ht="10" customHeight="1" x14ac:dyDescent="0.3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</row>
    <row r="73" spans="1:30" ht="10" customHeight="1" x14ac:dyDescent="0.3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</row>
    <row r="74" spans="1:30" ht="10" customHeight="1" x14ac:dyDescent="0.3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</row>
    <row r="75" spans="1:30" ht="10" customHeight="1" x14ac:dyDescent="0.3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</row>
    <row r="76" spans="1:30" ht="10" customHeight="1" x14ac:dyDescent="0.3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</row>
    <row r="77" spans="1:30" ht="10" customHeight="1" x14ac:dyDescent="0.3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</row>
    <row r="78" spans="1:30" ht="10" customHeight="1" x14ac:dyDescent="0.3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</row>
    <row r="79" spans="1:30" ht="10" customHeight="1" x14ac:dyDescent="0.3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</row>
    <row r="80" spans="1:30" ht="10" customHeight="1" x14ac:dyDescent="0.3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</row>
    <row r="81" spans="1:30" ht="10" customHeight="1" x14ac:dyDescent="0.3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</row>
    <row r="82" spans="1:30" ht="10" customHeight="1" x14ac:dyDescent="0.3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</row>
    <row r="83" spans="1:30" ht="10" customHeight="1" x14ac:dyDescent="0.3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</row>
    <row r="84" spans="1:30" ht="10" customHeight="1" x14ac:dyDescent="0.3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</row>
    <row r="85" spans="1:30" ht="10" customHeight="1" x14ac:dyDescent="0.3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</row>
    <row r="86" spans="1:30" ht="10" customHeight="1" x14ac:dyDescent="0.3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</row>
    <row r="87" spans="1:30" ht="10" customHeight="1" x14ac:dyDescent="0.3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</row>
    <row r="88" spans="1:30" ht="10" customHeight="1" x14ac:dyDescent="0.3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</row>
    <row r="89" spans="1:30" ht="10" customHeight="1" x14ac:dyDescent="0.3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</row>
    <row r="90" spans="1:30" ht="10" customHeight="1" x14ac:dyDescent="0.3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</row>
    <row r="91" spans="1:30" ht="10" customHeight="1" x14ac:dyDescent="0.3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</row>
    <row r="92" spans="1:30" ht="10" customHeight="1" x14ac:dyDescent="0.3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</row>
    <row r="93" spans="1:30" ht="10" customHeight="1" x14ac:dyDescent="0.3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</row>
    <row r="94" spans="1:30" ht="10" customHeight="1" x14ac:dyDescent="0.3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</row>
    <row r="95" spans="1:30" ht="10" customHeight="1" x14ac:dyDescent="0.3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</row>
    <row r="96" spans="1:30" ht="10" customHeight="1" x14ac:dyDescent="0.3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</row>
    <row r="97" spans="1:30" ht="10" customHeight="1" x14ac:dyDescent="0.3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</row>
    <row r="98" spans="1:30" ht="10" customHeight="1" x14ac:dyDescent="0.3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</row>
    <row r="99" spans="1:30" ht="10" customHeight="1" x14ac:dyDescent="0.3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</row>
    <row r="100" spans="1:30" ht="10" customHeight="1" x14ac:dyDescent="0.3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</row>
    <row r="101" spans="1:30" ht="10" customHeight="1" x14ac:dyDescent="0.3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</row>
    <row r="102" spans="1:30" ht="10" customHeight="1" x14ac:dyDescent="0.35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</row>
    <row r="103" spans="1:30" ht="10" customHeight="1" x14ac:dyDescent="0.35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</row>
    <row r="104" spans="1:30" ht="10" customHeight="1" x14ac:dyDescent="0.35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</row>
    <row r="105" spans="1:30" ht="10" customHeight="1" x14ac:dyDescent="0.35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</row>
    <row r="106" spans="1:30" ht="10" customHeight="1" x14ac:dyDescent="0.35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</row>
    <row r="107" spans="1:30" ht="10" customHeight="1" x14ac:dyDescent="0.35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</row>
    <row r="108" spans="1:30" ht="10" customHeight="1" x14ac:dyDescent="0.35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</row>
    <row r="109" spans="1:30" ht="10" customHeight="1" x14ac:dyDescent="0.35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</row>
    <row r="110" spans="1:30" ht="10" customHeight="1" x14ac:dyDescent="0.35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</row>
    <row r="111" spans="1:30" ht="10" customHeight="1" x14ac:dyDescent="0.35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</row>
    <row r="112" spans="1:30" ht="10" customHeight="1" x14ac:dyDescent="0.35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</row>
    <row r="113" spans="1:30" ht="10" customHeight="1" x14ac:dyDescent="0.35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</row>
    <row r="114" spans="1:30" ht="10" customHeight="1" x14ac:dyDescent="0.35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</row>
    <row r="115" spans="1:30" ht="10" customHeight="1" x14ac:dyDescent="0.35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</row>
    <row r="116" spans="1:30" ht="10" customHeight="1" x14ac:dyDescent="0.35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</row>
    <row r="117" spans="1:30" ht="10" customHeight="1" x14ac:dyDescent="0.35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</row>
    <row r="118" spans="1:30" ht="10" customHeight="1" x14ac:dyDescent="0.35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</row>
    <row r="119" spans="1:30" ht="10" customHeight="1" x14ac:dyDescent="0.35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</row>
    <row r="120" spans="1:30" ht="10" customHeight="1" x14ac:dyDescent="0.35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</row>
    <row r="121" spans="1:30" ht="10" customHeight="1" x14ac:dyDescent="0.35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</row>
    <row r="122" spans="1:30" ht="10" customHeight="1" x14ac:dyDescent="0.35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</row>
    <row r="123" spans="1:30" ht="10" customHeight="1" x14ac:dyDescent="0.35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</row>
    <row r="124" spans="1:30" ht="10" customHeight="1" x14ac:dyDescent="0.35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</row>
    <row r="125" spans="1:30" ht="10" customHeight="1" x14ac:dyDescent="0.35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</row>
    <row r="126" spans="1:30" ht="10" customHeight="1" x14ac:dyDescent="0.35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</row>
    <row r="127" spans="1:30" ht="10" customHeight="1" x14ac:dyDescent="0.35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</row>
    <row r="128" spans="1:30" ht="10" customHeight="1" x14ac:dyDescent="0.35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</row>
    <row r="129" spans="1:30" ht="10" customHeight="1" x14ac:dyDescent="0.35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</row>
    <row r="130" spans="1:30" ht="10" customHeight="1" x14ac:dyDescent="0.35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</row>
    <row r="131" spans="1:30" ht="10" customHeight="1" x14ac:dyDescent="0.35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</row>
    <row r="132" spans="1:30" ht="10" customHeight="1" x14ac:dyDescent="0.35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</row>
    <row r="133" spans="1:30" ht="10" customHeight="1" x14ac:dyDescent="0.35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</row>
    <row r="134" spans="1:30" ht="10" customHeight="1" x14ac:dyDescent="0.35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</row>
    <row r="135" spans="1:30" ht="10" customHeight="1" x14ac:dyDescent="0.35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</row>
    <row r="136" spans="1:30" ht="10" customHeight="1" x14ac:dyDescent="0.35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</row>
    <row r="137" spans="1:30" ht="10" customHeight="1" x14ac:dyDescent="0.35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</row>
    <row r="138" spans="1:30" ht="10" customHeight="1" x14ac:dyDescent="0.35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</row>
    <row r="139" spans="1:30" ht="10" customHeight="1" x14ac:dyDescent="0.35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</row>
    <row r="140" spans="1:30" ht="10" customHeight="1" x14ac:dyDescent="0.35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</row>
    <row r="141" spans="1:30" ht="10" customHeight="1" x14ac:dyDescent="0.35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</row>
    <row r="142" spans="1:30" ht="10" customHeight="1" x14ac:dyDescent="0.35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</row>
    <row r="143" spans="1:30" ht="10" customHeight="1" x14ac:dyDescent="0.35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</row>
    <row r="144" spans="1:30" ht="10" customHeight="1" x14ac:dyDescent="0.35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</row>
    <row r="145" spans="1:30" ht="10" customHeight="1" x14ac:dyDescent="0.35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</row>
    <row r="146" spans="1:30" ht="10" customHeight="1" x14ac:dyDescent="0.35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</row>
    <row r="147" spans="1:30" ht="10" customHeight="1" x14ac:dyDescent="0.35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</row>
    <row r="148" spans="1:30" ht="10" customHeight="1" x14ac:dyDescent="0.35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</row>
    <row r="149" spans="1:30" ht="10" customHeight="1" x14ac:dyDescent="0.35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</row>
    <row r="150" spans="1:30" ht="10" customHeight="1" x14ac:dyDescent="0.35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</row>
    <row r="151" spans="1:30" ht="10" customHeight="1" x14ac:dyDescent="0.35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</row>
    <row r="152" spans="1:30" ht="10" customHeight="1" x14ac:dyDescent="0.35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</row>
    <row r="153" spans="1:30" ht="10" customHeight="1" x14ac:dyDescent="0.35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</row>
    <row r="154" spans="1:30" ht="10" customHeight="1" x14ac:dyDescent="0.35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</row>
    <row r="155" spans="1:30" ht="10" customHeight="1" x14ac:dyDescent="0.35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</row>
    <row r="156" spans="1:30" ht="10" customHeight="1" x14ac:dyDescent="0.35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</row>
    <row r="157" spans="1:30" ht="10" customHeight="1" x14ac:dyDescent="0.35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</row>
    <row r="158" spans="1:30" ht="10" customHeight="1" x14ac:dyDescent="0.35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</row>
    <row r="159" spans="1:30" ht="10" customHeight="1" x14ac:dyDescent="0.35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</row>
    <row r="160" spans="1:30" ht="10" customHeight="1" x14ac:dyDescent="0.35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</row>
    <row r="161" spans="1:30" ht="10" customHeight="1" x14ac:dyDescent="0.35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</row>
    <row r="162" spans="1:30" ht="10" customHeight="1" x14ac:dyDescent="0.35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</row>
    <row r="163" spans="1:30" ht="10" customHeight="1" x14ac:dyDescent="0.35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</row>
    <row r="164" spans="1:30" ht="10" customHeight="1" x14ac:dyDescent="0.35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</row>
    <row r="165" spans="1:30" ht="10" customHeight="1" x14ac:dyDescent="0.35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</row>
    <row r="166" spans="1:30" ht="10" customHeight="1" x14ac:dyDescent="0.35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</row>
    <row r="167" spans="1:30" ht="10" customHeight="1" x14ac:dyDescent="0.35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</row>
    <row r="168" spans="1:30" ht="10" customHeight="1" x14ac:dyDescent="0.35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</row>
    <row r="169" spans="1:30" ht="10" customHeight="1" x14ac:dyDescent="0.35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</row>
    <row r="170" spans="1:30" ht="10" customHeight="1" x14ac:dyDescent="0.35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</row>
    <row r="171" spans="1:30" ht="10" customHeight="1" x14ac:dyDescent="0.35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</row>
    <row r="172" spans="1:30" ht="10" customHeight="1" x14ac:dyDescent="0.35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</row>
    <row r="173" spans="1:30" ht="10" customHeight="1" x14ac:dyDescent="0.35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</row>
    <row r="174" spans="1:30" ht="10" customHeight="1" x14ac:dyDescent="0.35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</row>
    <row r="175" spans="1:30" ht="10" customHeight="1" x14ac:dyDescent="0.35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</row>
    <row r="176" spans="1:30" ht="10" customHeight="1" x14ac:dyDescent="0.35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</row>
    <row r="177" spans="1:30" ht="10" customHeight="1" x14ac:dyDescent="0.35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</row>
    <row r="178" spans="1:30" ht="10" customHeight="1" x14ac:dyDescent="0.35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</row>
    <row r="179" spans="1:30" ht="10" customHeight="1" x14ac:dyDescent="0.35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</row>
    <row r="180" spans="1:30" ht="10" customHeight="1" x14ac:dyDescent="0.35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</row>
    <row r="181" spans="1:30" ht="10" customHeight="1" x14ac:dyDescent="0.35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</row>
    <row r="182" spans="1:30" ht="10" customHeight="1" x14ac:dyDescent="0.35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</row>
    <row r="183" spans="1:30" ht="10" customHeight="1" x14ac:dyDescent="0.35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</row>
    <row r="184" spans="1:30" ht="10" customHeight="1" x14ac:dyDescent="0.35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</row>
    <row r="185" spans="1:30" ht="10" customHeight="1" x14ac:dyDescent="0.35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</row>
    <row r="186" spans="1:30" ht="10" customHeight="1" x14ac:dyDescent="0.35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</row>
    <row r="187" spans="1:30" ht="10" customHeight="1" x14ac:dyDescent="0.35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</row>
    <row r="188" spans="1:30" ht="10" customHeight="1" x14ac:dyDescent="0.35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</row>
    <row r="189" spans="1:30" ht="10" customHeight="1" x14ac:dyDescent="0.35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</row>
    <row r="190" spans="1:30" ht="10" customHeight="1" x14ac:dyDescent="0.35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</row>
    <row r="191" spans="1:30" ht="10" customHeight="1" x14ac:dyDescent="0.35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</row>
    <row r="192" spans="1:30" ht="10" customHeight="1" x14ac:dyDescent="0.35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</row>
    <row r="193" spans="1:30" ht="10" customHeight="1" x14ac:dyDescent="0.35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</row>
    <row r="194" spans="1:30" ht="10" customHeight="1" x14ac:dyDescent="0.35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</row>
    <row r="195" spans="1:30" ht="10" customHeight="1" x14ac:dyDescent="0.35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</row>
    <row r="196" spans="1:30" ht="10" customHeight="1" x14ac:dyDescent="0.35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</row>
    <row r="197" spans="1:30" ht="10" customHeight="1" x14ac:dyDescent="0.35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</row>
    <row r="198" spans="1:30" ht="10" customHeight="1" x14ac:dyDescent="0.35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</row>
    <row r="199" spans="1:30" ht="10" customHeight="1" x14ac:dyDescent="0.35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</row>
    <row r="200" spans="1:30" ht="10" customHeight="1" x14ac:dyDescent="0.35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</row>
    <row r="201" spans="1:30" ht="10" customHeight="1" x14ac:dyDescent="0.35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</row>
    <row r="202" spans="1:30" ht="10" customHeight="1" x14ac:dyDescent="0.35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</row>
    <row r="203" spans="1:30" ht="10" customHeight="1" x14ac:dyDescent="0.35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</row>
    <row r="204" spans="1:30" ht="10" customHeight="1" x14ac:dyDescent="0.35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</row>
    <row r="205" spans="1:30" ht="10" customHeight="1" x14ac:dyDescent="0.35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</row>
    <row r="206" spans="1:30" ht="10" customHeight="1" x14ac:dyDescent="0.35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</row>
    <row r="207" spans="1:30" ht="10" customHeight="1" x14ac:dyDescent="0.35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</row>
    <row r="208" spans="1:30" ht="10" customHeight="1" x14ac:dyDescent="0.35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</row>
    <row r="209" spans="1:30" ht="10" customHeight="1" x14ac:dyDescent="0.35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</row>
    <row r="210" spans="1:30" ht="10" customHeight="1" x14ac:dyDescent="0.35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</row>
    <row r="211" spans="1:30" ht="10" customHeight="1" x14ac:dyDescent="0.35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</row>
    <row r="212" spans="1:30" ht="10" customHeight="1" x14ac:dyDescent="0.35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</row>
    <row r="213" spans="1:30" ht="10" customHeight="1" x14ac:dyDescent="0.35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</row>
    <row r="214" spans="1:30" ht="10" customHeight="1" x14ac:dyDescent="0.35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</row>
    <row r="215" spans="1:30" ht="10" customHeight="1" x14ac:dyDescent="0.35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</row>
    <row r="216" spans="1:30" ht="10" customHeight="1" x14ac:dyDescent="0.35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</row>
    <row r="217" spans="1:30" ht="10" customHeight="1" x14ac:dyDescent="0.35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</row>
    <row r="218" spans="1:30" ht="10" customHeight="1" x14ac:dyDescent="0.35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</row>
    <row r="219" spans="1:30" ht="10" customHeight="1" x14ac:dyDescent="0.35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</row>
    <row r="220" spans="1:30" ht="10" customHeight="1" x14ac:dyDescent="0.35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</row>
    <row r="221" spans="1:30" ht="10" customHeight="1" x14ac:dyDescent="0.35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</row>
    <row r="222" spans="1:30" ht="10" customHeight="1" x14ac:dyDescent="0.35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</row>
    <row r="223" spans="1:30" ht="10" customHeight="1" x14ac:dyDescent="0.35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</row>
    <row r="224" spans="1:30" ht="10" customHeight="1" x14ac:dyDescent="0.35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</row>
    <row r="225" spans="1:30" ht="10" customHeight="1" x14ac:dyDescent="0.35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</row>
    <row r="226" spans="1:30" ht="10" customHeight="1" x14ac:dyDescent="0.35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</row>
    <row r="227" spans="1:30" ht="10" customHeight="1" x14ac:dyDescent="0.35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</row>
    <row r="228" spans="1:30" ht="10" customHeight="1" x14ac:dyDescent="0.35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</row>
    <row r="229" spans="1:30" ht="10" customHeight="1" x14ac:dyDescent="0.35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</row>
    <row r="230" spans="1:30" ht="10" customHeight="1" x14ac:dyDescent="0.35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</row>
    <row r="231" spans="1:30" ht="10" customHeight="1" x14ac:dyDescent="0.35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</row>
    <row r="232" spans="1:30" ht="10" customHeight="1" x14ac:dyDescent="0.35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</row>
    <row r="233" spans="1:30" ht="10" customHeight="1" x14ac:dyDescent="0.35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</row>
    <row r="234" spans="1:30" ht="10" customHeight="1" x14ac:dyDescent="0.35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</row>
    <row r="235" spans="1:30" ht="10" customHeight="1" x14ac:dyDescent="0.35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</row>
    <row r="236" spans="1:30" ht="10" customHeight="1" x14ac:dyDescent="0.35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</row>
    <row r="237" spans="1:30" ht="10" customHeight="1" x14ac:dyDescent="0.35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</row>
    <row r="238" spans="1:30" ht="10" customHeight="1" x14ac:dyDescent="0.35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</row>
    <row r="239" spans="1:30" ht="10" customHeight="1" x14ac:dyDescent="0.35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</row>
    <row r="240" spans="1:30" ht="10" customHeight="1" x14ac:dyDescent="0.35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</row>
    <row r="241" spans="1:30" ht="10" customHeight="1" x14ac:dyDescent="0.35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</row>
    <row r="242" spans="1:30" ht="10" customHeight="1" x14ac:dyDescent="0.35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</row>
    <row r="243" spans="1:30" ht="10" customHeight="1" x14ac:dyDescent="0.35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</row>
    <row r="244" spans="1:30" ht="10" customHeight="1" x14ac:dyDescent="0.35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</row>
    <row r="245" spans="1:30" ht="10" customHeight="1" x14ac:dyDescent="0.35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</row>
    <row r="246" spans="1:30" ht="10" customHeight="1" x14ac:dyDescent="0.35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</row>
    <row r="247" spans="1:30" ht="10" customHeight="1" x14ac:dyDescent="0.35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</row>
    <row r="248" spans="1:30" ht="10" customHeight="1" x14ac:dyDescent="0.35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</row>
    <row r="249" spans="1:30" ht="10" customHeight="1" x14ac:dyDescent="0.35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</row>
    <row r="250" spans="1:30" ht="10" customHeight="1" x14ac:dyDescent="0.35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</row>
    <row r="251" spans="1:30" ht="10" customHeight="1" x14ac:dyDescent="0.35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</row>
    <row r="252" spans="1:30" ht="10" customHeight="1" x14ac:dyDescent="0.35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</row>
    <row r="253" spans="1:30" ht="10" customHeight="1" x14ac:dyDescent="0.35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</row>
    <row r="254" spans="1:30" ht="10" customHeight="1" x14ac:dyDescent="0.35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</row>
    <row r="255" spans="1:30" ht="10" customHeight="1" x14ac:dyDescent="0.35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</row>
    <row r="256" spans="1:30" ht="10" customHeight="1" x14ac:dyDescent="0.35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</row>
    <row r="257" spans="1:30" ht="10" customHeight="1" x14ac:dyDescent="0.35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</row>
    <row r="258" spans="1:30" ht="10" customHeight="1" x14ac:dyDescent="0.35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</row>
    <row r="259" spans="1:30" ht="10" customHeight="1" x14ac:dyDescent="0.35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</row>
    <row r="260" spans="1:30" ht="10" customHeight="1" x14ac:dyDescent="0.35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</row>
    <row r="261" spans="1:30" ht="10" customHeight="1" x14ac:dyDescent="0.35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</row>
    <row r="262" spans="1:30" ht="10" customHeight="1" x14ac:dyDescent="0.35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</row>
    <row r="263" spans="1:30" ht="10" customHeight="1" x14ac:dyDescent="0.35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</row>
    <row r="264" spans="1:30" ht="10" customHeight="1" x14ac:dyDescent="0.35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</row>
    <row r="265" spans="1:30" ht="10" customHeight="1" x14ac:dyDescent="0.35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</row>
    <row r="266" spans="1:30" ht="10" customHeight="1" x14ac:dyDescent="0.35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</row>
    <row r="267" spans="1:30" ht="10" customHeight="1" x14ac:dyDescent="0.35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</row>
    <row r="268" spans="1:30" ht="10" customHeight="1" x14ac:dyDescent="0.35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</row>
    <row r="269" spans="1:30" ht="10" customHeight="1" x14ac:dyDescent="0.35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</row>
    <row r="270" spans="1:30" ht="10" customHeight="1" x14ac:dyDescent="0.35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</row>
    <row r="271" spans="1:30" ht="10" customHeight="1" x14ac:dyDescent="0.35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</row>
    <row r="272" spans="1:30" ht="10" customHeight="1" x14ac:dyDescent="0.35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</row>
    <row r="273" spans="1:30" ht="10" customHeight="1" x14ac:dyDescent="0.35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</row>
    <row r="274" spans="1:30" ht="10" customHeight="1" x14ac:dyDescent="0.35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</row>
    <row r="275" spans="1:30" ht="10" customHeight="1" x14ac:dyDescent="0.35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</row>
    <row r="276" spans="1:30" ht="10" customHeight="1" x14ac:dyDescent="0.35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</row>
    <row r="277" spans="1:30" ht="10" customHeight="1" x14ac:dyDescent="0.35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</row>
    <row r="278" spans="1:30" ht="10" customHeight="1" x14ac:dyDescent="0.35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</row>
    <row r="279" spans="1:30" ht="10" customHeight="1" x14ac:dyDescent="0.35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</row>
    <row r="280" spans="1:30" ht="10" customHeight="1" x14ac:dyDescent="0.35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</row>
    <row r="281" spans="1:30" ht="10" customHeight="1" x14ac:dyDescent="0.35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</row>
    <row r="282" spans="1:30" ht="10" customHeight="1" x14ac:dyDescent="0.35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</row>
    <row r="283" spans="1:30" ht="10" customHeight="1" x14ac:dyDescent="0.35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</row>
    <row r="284" spans="1:30" ht="10" customHeight="1" x14ac:dyDescent="0.35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</row>
    <row r="285" spans="1:30" ht="10" customHeight="1" x14ac:dyDescent="0.35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</row>
    <row r="286" spans="1:30" ht="10" customHeight="1" x14ac:dyDescent="0.35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</row>
    <row r="287" spans="1:30" ht="10" customHeight="1" x14ac:dyDescent="0.35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</row>
    <row r="288" spans="1:30" ht="10" customHeight="1" x14ac:dyDescent="0.35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</row>
    <row r="289" spans="1:30" ht="10" customHeight="1" x14ac:dyDescent="0.35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</row>
    <row r="290" spans="1:30" ht="10" customHeight="1" x14ac:dyDescent="0.35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</row>
    <row r="291" spans="1:30" ht="10" customHeight="1" x14ac:dyDescent="0.35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</row>
    <row r="292" spans="1:30" ht="10" customHeight="1" x14ac:dyDescent="0.35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</row>
    <row r="293" spans="1:30" ht="10" customHeight="1" x14ac:dyDescent="0.35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</row>
    <row r="294" spans="1:30" ht="10" customHeight="1" x14ac:dyDescent="0.35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</row>
    <row r="295" spans="1:30" ht="10" customHeight="1" x14ac:dyDescent="0.35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</row>
    <row r="296" spans="1:30" ht="10" customHeight="1" x14ac:dyDescent="0.35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</row>
    <row r="297" spans="1:30" ht="10" customHeight="1" x14ac:dyDescent="0.35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</row>
    <row r="298" spans="1:30" ht="10" customHeight="1" x14ac:dyDescent="0.35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</row>
    <row r="299" spans="1:30" ht="10" customHeight="1" x14ac:dyDescent="0.35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</row>
    <row r="300" spans="1:30" ht="10" customHeight="1" x14ac:dyDescent="0.35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</row>
  </sheetData>
  <mergeCells count="10">
    <mergeCell ref="R5:S5"/>
    <mergeCell ref="T5:U5"/>
    <mergeCell ref="V5:W5"/>
    <mergeCell ref="B5:C5"/>
    <mergeCell ref="D5:E5"/>
    <mergeCell ref="F5:G5"/>
    <mergeCell ref="H5:J5"/>
    <mergeCell ref="K5:M5"/>
    <mergeCell ref="N5:O5"/>
    <mergeCell ref="P5:Q5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4099" r:id="rId4" name="CommandButton1">
          <controlPr defaultSize="0" autoLine="0" r:id="rId5">
            <anchor moveWithCells="1">
              <from>
                <xdr:col>2</xdr:col>
                <xdr:colOff>431800</xdr:colOff>
                <xdr:row>0</xdr:row>
                <xdr:rowOff>152400</xdr:rowOff>
              </from>
              <to>
                <xdr:col>4</xdr:col>
                <xdr:colOff>171450</xdr:colOff>
                <xdr:row>2</xdr:row>
                <xdr:rowOff>63500</xdr:rowOff>
              </to>
            </anchor>
          </controlPr>
        </control>
      </mc:Choice>
      <mc:Fallback>
        <control shapeId="4099" r:id="rId4" name="CommandButton1"/>
      </mc:Fallback>
    </mc:AlternateContent>
    <mc:AlternateContent xmlns:mc="http://schemas.openxmlformats.org/markup-compatibility/2006">
      <mc:Choice Requires="x14">
        <control shapeId="4100" r:id="rId6" name="ArrangeCoverButton">
          <controlPr defaultSize="0" autoLine="0" r:id="rId7">
            <anchor moveWithCells="1">
              <from>
                <xdr:col>11</xdr:col>
                <xdr:colOff>12700</xdr:colOff>
                <xdr:row>0</xdr:row>
                <xdr:rowOff>50800</xdr:rowOff>
              </from>
              <to>
                <xdr:col>14</xdr:col>
                <xdr:colOff>228600</xdr:colOff>
                <xdr:row>2</xdr:row>
                <xdr:rowOff>82550</xdr:rowOff>
              </to>
            </anchor>
          </controlPr>
        </control>
      </mc:Choice>
      <mc:Fallback>
        <control shapeId="4100" r:id="rId6" name="ArrangeCover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Staff Overview</vt:lpstr>
      <vt:lpstr>Detailed Staff</vt:lpstr>
      <vt:lpstr>Cover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dcterms:created xsi:type="dcterms:W3CDTF">2006-09-16T00:00:00Z</dcterms:created>
  <dcterms:modified xsi:type="dcterms:W3CDTF">2019-08-08T17:47:58Z</dcterms:modified>
</cp:coreProperties>
</file>